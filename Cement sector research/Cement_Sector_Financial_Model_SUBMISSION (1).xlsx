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072" tabRatio="500" firstSheet="22" activeTab="24"/>
  </bookViews>
  <sheets>
    <sheet name="README" sheetId="1" r:id="rId1"/>
    <sheet name="Company Rationale" sheetId="2" r:id="rId2"/>
    <sheet name="Master Data (FY26)" sheetId="3" r:id="rId3"/>
    <sheet name="Hist - UltraTech" sheetId="4" r:id="rId4"/>
    <sheet name="Hist - Shree" sheetId="5" r:id="rId5"/>
    <sheet name="Hist - Ambuja" sheetId="6" r:id="rId6"/>
    <sheet name="Hist - JK Cement" sheetId="7" r:id="rId7"/>
    <sheet name="Hist - Dalmia" sheetId="8" r:id="rId8"/>
    <sheet name="Macro &amp; Sector Data" sheetId="9" r:id="rId9"/>
    <sheet name="Capacity &amp; Efficiency" sheetId="10" r:id="rId10"/>
    <sheet name="Ratio Analysis" sheetId="11" r:id="rId11"/>
    <sheet name="CCA Valuation" sheetId="12" r:id="rId12"/>
    <sheet name="Valuation Justification" sheetId="13" r:id="rId13"/>
    <sheet name="Dashboard" sheetId="14" r:id="rId14"/>
    <sheet name="Qualitative Analysis" sheetId="15" r:id="rId15"/>
    <sheet name="Cost &amp; Risk Assessment" sheetId="16" r:id="rId16"/>
    <sheet name="Investment Scorecard" sheetId="17" r:id="rId17"/>
    <sheet name="Scorecard Sensitivity" sheetId="18" r:id="rId18"/>
    <sheet name="FY27-28E Assumptions" sheetId="19" r:id="rId19"/>
    <sheet name="Forward &amp; Historical Valuation" sheetId="20" r:id="rId20"/>
    <sheet name="Recommendation Matrix" sheetId="21" r:id="rId21"/>
    <sheet name="Rating Rationale" sheetId="22" r:id="rId22"/>
    <sheet name="Investment Thesis" sheetId="23" r:id="rId23"/>
    <sheet name="Chart Data" sheetId="24" r:id="rId24"/>
    <sheet name="Model Checks" sheetId="25" r:id="rId25"/>
    <sheet name="Data Quality Log" sheetId="26" r:id="rId26"/>
    <sheet name="Sources &amp; References" sheetId="27" r:id="rId27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25" l="1"/>
  <c r="B71" i="24"/>
  <c r="B70" i="24"/>
  <c r="F69" i="24"/>
  <c r="B69" i="24"/>
  <c r="E68" i="24"/>
  <c r="B68" i="24"/>
  <c r="B67" i="24"/>
  <c r="B43" i="24"/>
  <c r="C42" i="24"/>
  <c r="B42" i="24"/>
  <c r="B41" i="24"/>
  <c r="C40" i="24"/>
  <c r="B40" i="24"/>
  <c r="D39" i="24"/>
  <c r="B39" i="24"/>
  <c r="C25" i="24"/>
  <c r="C22" i="24"/>
  <c r="B22" i="24"/>
  <c r="C21" i="24"/>
  <c r="B21" i="24"/>
  <c r="C20" i="24"/>
  <c r="B20" i="24"/>
  <c r="C19" i="24"/>
  <c r="B19" i="24"/>
  <c r="C18" i="24"/>
  <c r="B18" i="24"/>
  <c r="C8" i="24"/>
  <c r="B8" i="24"/>
  <c r="C7" i="24"/>
  <c r="B7" i="24"/>
  <c r="C6" i="24"/>
  <c r="B6" i="24"/>
  <c r="C5" i="24"/>
  <c r="B5" i="24"/>
  <c r="C4" i="24"/>
  <c r="B4" i="24"/>
  <c r="H8" i="23"/>
  <c r="G8" i="23"/>
  <c r="H7" i="23"/>
  <c r="G7" i="23"/>
  <c r="H6" i="23"/>
  <c r="G6" i="23"/>
  <c r="H5" i="23"/>
  <c r="G5" i="23"/>
  <c r="H4" i="23"/>
  <c r="G4" i="23"/>
  <c r="D32" i="22"/>
  <c r="B32" i="22"/>
  <c r="D31" i="22"/>
  <c r="B31" i="22"/>
  <c r="D30" i="22"/>
  <c r="B30" i="22"/>
  <c r="D29" i="22"/>
  <c r="B29" i="22"/>
  <c r="D28" i="22"/>
  <c r="B28" i="22"/>
  <c r="B16" i="22"/>
  <c r="B15" i="22"/>
  <c r="B14" i="22"/>
  <c r="B13" i="22"/>
  <c r="B12" i="22"/>
  <c r="B11" i="22"/>
  <c r="B10" i="22"/>
  <c r="B9" i="22"/>
  <c r="B8" i="22"/>
  <c r="B7" i="22"/>
  <c r="B6" i="22"/>
  <c r="B5" i="22"/>
  <c r="J10" i="21"/>
  <c r="E10" i="21"/>
  <c r="P9" i="21"/>
  <c r="Q9" i="21" s="1"/>
  <c r="J9" i="21"/>
  <c r="E9" i="21"/>
  <c r="P8" i="21"/>
  <c r="Q8" i="21" s="1"/>
  <c r="J8" i="21"/>
  <c r="E8" i="21"/>
  <c r="J7" i="21"/>
  <c r="E7" i="21"/>
  <c r="P6" i="21"/>
  <c r="Q6" i="21" s="1"/>
  <c r="J6" i="21"/>
  <c r="E6" i="21"/>
  <c r="C10" i="20"/>
  <c r="I17" i="19"/>
  <c r="G17" i="19"/>
  <c r="F17" i="19"/>
  <c r="E17" i="19"/>
  <c r="D17" i="19"/>
  <c r="C17" i="19"/>
  <c r="D43" i="24" s="1"/>
  <c r="B17" i="19"/>
  <c r="C43" i="24" s="1"/>
  <c r="C16" i="19"/>
  <c r="B16" i="19"/>
  <c r="F16" i="19" s="1"/>
  <c r="D15" i="19"/>
  <c r="C15" i="19"/>
  <c r="G15" i="19" s="1"/>
  <c r="B15" i="19"/>
  <c r="F15" i="19" s="1"/>
  <c r="F14" i="19"/>
  <c r="B14" i="19"/>
  <c r="D14" i="19" s="1"/>
  <c r="G13" i="19"/>
  <c r="F13" i="19"/>
  <c r="D13" i="19"/>
  <c r="C13" i="19"/>
  <c r="E13" i="19" s="1"/>
  <c r="B13" i="19"/>
  <c r="C39" i="24" s="1"/>
  <c r="B9" i="19"/>
  <c r="E11" i="18"/>
  <c r="D11" i="18"/>
  <c r="C11" i="18"/>
  <c r="B10" i="18"/>
  <c r="B9" i="18"/>
  <c r="B8" i="18"/>
  <c r="B7" i="18"/>
  <c r="B6" i="18"/>
  <c r="B5" i="18"/>
  <c r="B12" i="17"/>
  <c r="C4" i="25" s="1"/>
  <c r="B8" i="16"/>
  <c r="C7" i="14"/>
  <c r="C4" i="14"/>
  <c r="B4" i="14"/>
  <c r="E18" i="13"/>
  <c r="E17" i="13"/>
  <c r="E16" i="13"/>
  <c r="E15" i="13"/>
  <c r="E14" i="13"/>
  <c r="C9" i="12"/>
  <c r="B10" i="20" s="1"/>
  <c r="B9" i="12"/>
  <c r="B57" i="24" s="1"/>
  <c r="C8" i="12"/>
  <c r="B8" i="12"/>
  <c r="B7" i="12"/>
  <c r="C6" i="12"/>
  <c r="B6" i="12"/>
  <c r="C5" i="12"/>
  <c r="B5" i="12"/>
  <c r="G14" i="11"/>
  <c r="C13" i="11"/>
  <c r="G12" i="11"/>
  <c r="D12" i="11"/>
  <c r="C12" i="11"/>
  <c r="G9" i="11"/>
  <c r="F9" i="11"/>
  <c r="F11" i="11" s="1"/>
  <c r="E9" i="11"/>
  <c r="D9" i="11"/>
  <c r="C9" i="11"/>
  <c r="C10" i="11" s="1"/>
  <c r="B8" i="14" s="1"/>
  <c r="G8" i="11"/>
  <c r="G5" i="17" s="1"/>
  <c r="F8" i="11"/>
  <c r="E8" i="11"/>
  <c r="C16" i="13" s="1"/>
  <c r="C8" i="11"/>
  <c r="C14" i="13" s="1"/>
  <c r="G7" i="11"/>
  <c r="F7" i="11"/>
  <c r="E7" i="11"/>
  <c r="D7" i="11"/>
  <c r="D8" i="11" s="1"/>
  <c r="C15" i="13" s="1"/>
  <c r="C7" i="11"/>
  <c r="F6" i="11"/>
  <c r="D6" i="11"/>
  <c r="D15" i="13" s="1"/>
  <c r="C6" i="11"/>
  <c r="G5" i="11"/>
  <c r="F5" i="11"/>
  <c r="E5" i="11"/>
  <c r="D5" i="11"/>
  <c r="G4" i="11"/>
  <c r="F4" i="14" s="1"/>
  <c r="F4" i="11"/>
  <c r="E4" i="14" s="1"/>
  <c r="E4" i="11"/>
  <c r="D4" i="14" s="1"/>
  <c r="D4" i="11"/>
  <c r="C4" i="11"/>
  <c r="B11" i="10"/>
  <c r="J9" i="10"/>
  <c r="G9" i="10"/>
  <c r="F9" i="10"/>
  <c r="E9" i="10"/>
  <c r="E71" i="24" s="1"/>
  <c r="D9" i="10"/>
  <c r="D71" i="24" s="1"/>
  <c r="C9" i="10"/>
  <c r="C71" i="24" s="1"/>
  <c r="K8" i="10"/>
  <c r="J8" i="10"/>
  <c r="F70" i="24" s="1"/>
  <c r="F8" i="10"/>
  <c r="E8" i="10"/>
  <c r="E70" i="24" s="1"/>
  <c r="D8" i="10"/>
  <c r="D70" i="24" s="1"/>
  <c r="J7" i="10"/>
  <c r="F7" i="10"/>
  <c r="E7" i="10"/>
  <c r="D7" i="10"/>
  <c r="D69" i="24" s="1"/>
  <c r="C7" i="10"/>
  <c r="C69" i="24" s="1"/>
  <c r="K6" i="10"/>
  <c r="J6" i="10"/>
  <c r="G6" i="10"/>
  <c r="F6" i="10"/>
  <c r="E6" i="10"/>
  <c r="D6" i="10"/>
  <c r="D68" i="24" s="1"/>
  <c r="J5" i="10"/>
  <c r="F67" i="24" s="1"/>
  <c r="F5" i="10"/>
  <c r="E5" i="10"/>
  <c r="D5" i="10"/>
  <c r="D67" i="24" s="1"/>
  <c r="C5" i="10"/>
  <c r="B10" i="16"/>
  <c r="D28" i="9"/>
  <c r="D27" i="9"/>
  <c r="D26" i="9"/>
  <c r="B9" i="16" s="1"/>
  <c r="D25" i="9"/>
  <c r="D24" i="9"/>
  <c r="D23" i="9"/>
  <c r="B7" i="16" s="1"/>
  <c r="D22" i="9"/>
  <c r="B6" i="16" s="1"/>
  <c r="D21" i="9"/>
  <c r="B5" i="16" s="1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C10" i="8"/>
  <c r="C29" i="24" s="1"/>
  <c r="B10" i="8"/>
  <c r="B29" i="24" s="1"/>
  <c r="C9" i="8"/>
  <c r="D8" i="8"/>
  <c r="D22" i="24" s="1"/>
  <c r="C7" i="8"/>
  <c r="C15" i="24" s="1"/>
  <c r="B7" i="8"/>
  <c r="B15" i="24" s="1"/>
  <c r="D6" i="8"/>
  <c r="C5" i="8"/>
  <c r="D4" i="8"/>
  <c r="C10" i="7"/>
  <c r="C28" i="24" s="1"/>
  <c r="B10" i="7"/>
  <c r="B28" i="24" s="1"/>
  <c r="D9" i="7"/>
  <c r="C9" i="7"/>
  <c r="D8" i="7"/>
  <c r="D21" i="24" s="1"/>
  <c r="B7" i="7"/>
  <c r="B14" i="24" s="1"/>
  <c r="D6" i="7"/>
  <c r="C6" i="7"/>
  <c r="C7" i="7" s="1"/>
  <c r="C14" i="24" s="1"/>
  <c r="C5" i="7"/>
  <c r="D4" i="7"/>
  <c r="D12" i="6"/>
  <c r="D10" i="6"/>
  <c r="D27" i="24" s="1"/>
  <c r="C10" i="6"/>
  <c r="C27" i="24" s="1"/>
  <c r="B10" i="6"/>
  <c r="B27" i="24" s="1"/>
  <c r="C9" i="6"/>
  <c r="D8" i="6"/>
  <c r="C7" i="6"/>
  <c r="C13" i="24" s="1"/>
  <c r="B7" i="6"/>
  <c r="B13" i="24" s="1"/>
  <c r="D6" i="6"/>
  <c r="D7" i="6" s="1"/>
  <c r="D13" i="24" s="1"/>
  <c r="C5" i="6"/>
  <c r="D4" i="6"/>
  <c r="D6" i="24" s="1"/>
  <c r="D12" i="5"/>
  <c r="C10" i="5"/>
  <c r="C26" i="24" s="1"/>
  <c r="B10" i="5"/>
  <c r="B26" i="24" s="1"/>
  <c r="C9" i="5"/>
  <c r="D8" i="5"/>
  <c r="D9" i="5" s="1"/>
  <c r="D7" i="5"/>
  <c r="D12" i="24" s="1"/>
  <c r="C7" i="5"/>
  <c r="C12" i="24" s="1"/>
  <c r="B7" i="5"/>
  <c r="B12" i="24" s="1"/>
  <c r="D6" i="5"/>
  <c r="D5" i="5"/>
  <c r="C5" i="5"/>
  <c r="D4" i="5"/>
  <c r="D5" i="24" s="1"/>
  <c r="D12" i="4"/>
  <c r="C10" i="4"/>
  <c r="B10" i="4"/>
  <c r="B25" i="24" s="1"/>
  <c r="C9" i="4"/>
  <c r="D8" i="4"/>
  <c r="C7" i="4"/>
  <c r="C11" i="24" s="1"/>
  <c r="B7" i="4"/>
  <c r="B11" i="24" s="1"/>
  <c r="D6" i="4"/>
  <c r="D7" i="4" s="1"/>
  <c r="D11" i="24" s="1"/>
  <c r="C5" i="4"/>
  <c r="D4" i="4"/>
  <c r="D5" i="4" s="1"/>
  <c r="F17" i="3"/>
  <c r="F16" i="3"/>
  <c r="C16" i="3"/>
  <c r="B16" i="3"/>
  <c r="F15" i="3"/>
  <c r="G6" i="11" s="1"/>
  <c r="E15" i="3"/>
  <c r="D15" i="3"/>
  <c r="E6" i="11" s="1"/>
  <c r="C15" i="3"/>
  <c r="B15" i="3"/>
  <c r="F14" i="3"/>
  <c r="E14" i="3"/>
  <c r="B8" i="19" s="1"/>
  <c r="D14" i="3"/>
  <c r="B7" i="19" s="1"/>
  <c r="C14" i="3"/>
  <c r="B6" i="19" s="1"/>
  <c r="B14" i="3"/>
  <c r="C5" i="11" s="1"/>
  <c r="F10" i="3"/>
  <c r="G15" i="11" s="1"/>
  <c r="F36" i="24" s="1"/>
  <c r="E10" i="3"/>
  <c r="G8" i="10" s="1"/>
  <c r="C10" i="3"/>
  <c r="D11" i="11" s="1"/>
  <c r="B10" i="3"/>
  <c r="D9" i="3"/>
  <c r="E7" i="3"/>
  <c r="E16" i="3" s="1"/>
  <c r="D7" i="3"/>
  <c r="C7" i="3"/>
  <c r="C17" i="3" s="1"/>
  <c r="D14" i="11" s="1"/>
  <c r="E16" i="16" s="1"/>
  <c r="F16" i="16" s="1"/>
  <c r="B7" i="3"/>
  <c r="B96" i="24" l="1"/>
  <c r="F7" i="21"/>
  <c r="K7" i="21" s="1"/>
  <c r="F8" i="17"/>
  <c r="E11" i="14"/>
  <c r="D35" i="24"/>
  <c r="B8" i="13"/>
  <c r="D16" i="13"/>
  <c r="E4" i="17"/>
  <c r="D6" i="14"/>
  <c r="D7" i="8"/>
  <c r="D15" i="24" s="1"/>
  <c r="D5" i="8"/>
  <c r="H15" i="19"/>
  <c r="I15" i="19"/>
  <c r="F29" i="22"/>
  <c r="P7" i="21"/>
  <c r="Q7" i="21" s="1"/>
  <c r="F68" i="24"/>
  <c r="G7" i="20"/>
  <c r="B54" i="24"/>
  <c r="E19" i="13"/>
  <c r="B53" i="24"/>
  <c r="G10" i="11"/>
  <c r="F8" i="14" s="1"/>
  <c r="G13" i="11"/>
  <c r="F32" i="22"/>
  <c r="P10" i="21"/>
  <c r="Q10" i="21" s="1"/>
  <c r="B12" i="14"/>
  <c r="E5" i="13"/>
  <c r="C9" i="17"/>
  <c r="E32" i="24"/>
  <c r="D42" i="24"/>
  <c r="G16" i="19"/>
  <c r="I16" i="19" s="1"/>
  <c r="E16" i="19"/>
  <c r="D7" i="20"/>
  <c r="B47" i="24" s="1"/>
  <c r="D19" i="24"/>
  <c r="D4" i="17"/>
  <c r="C6" i="14"/>
  <c r="D10" i="4"/>
  <c r="D25" i="24" s="1"/>
  <c r="D6" i="20"/>
  <c r="B46" i="24" s="1"/>
  <c r="D18" i="24"/>
  <c r="F12" i="11"/>
  <c r="H16" i="19"/>
  <c r="D10" i="5"/>
  <c r="D26" i="24" s="1"/>
  <c r="C7" i="12"/>
  <c r="E36" i="24"/>
  <c r="G9" i="17"/>
  <c r="F12" i="14"/>
  <c r="H13" i="19"/>
  <c r="C6" i="20"/>
  <c r="F6" i="20" s="1"/>
  <c r="B6" i="20"/>
  <c r="E6" i="20" s="1"/>
  <c r="D5" i="17"/>
  <c r="G33" i="24"/>
  <c r="G5" i="15"/>
  <c r="D10" i="8"/>
  <c r="D29" i="24" s="1"/>
  <c r="C67" i="24"/>
  <c r="F30" i="22"/>
  <c r="B9" i="14"/>
  <c r="B32" i="24"/>
  <c r="C6" i="17"/>
  <c r="B14" i="13"/>
  <c r="C7" i="20"/>
  <c r="F7" i="20" s="1"/>
  <c r="B7" i="20"/>
  <c r="E7" i="20" s="1"/>
  <c r="H7" i="20" s="1"/>
  <c r="K9" i="10"/>
  <c r="D18" i="13"/>
  <c r="G4" i="17"/>
  <c r="N4" i="17" s="1"/>
  <c r="F6" i="14"/>
  <c r="G34" i="24"/>
  <c r="E5" i="17"/>
  <c r="G6" i="15"/>
  <c r="D7" i="14"/>
  <c r="E19" i="16"/>
  <c r="F19" i="16" s="1"/>
  <c r="F10" i="14"/>
  <c r="C36" i="24"/>
  <c r="G7" i="17"/>
  <c r="B20" i="20"/>
  <c r="D50" i="24"/>
  <c r="K17" i="19"/>
  <c r="D8" i="24"/>
  <c r="F71" i="24"/>
  <c r="C9" i="20"/>
  <c r="B9" i="20"/>
  <c r="D16" i="3"/>
  <c r="D12" i="8"/>
  <c r="C18" i="13"/>
  <c r="E8" i="23"/>
  <c r="G36" i="24"/>
  <c r="G8" i="15"/>
  <c r="F7" i="14"/>
  <c r="D15" i="11"/>
  <c r="F33" i="24" s="1"/>
  <c r="I13" i="19"/>
  <c r="F10" i="11"/>
  <c r="E8" i="14" s="1"/>
  <c r="F13" i="11"/>
  <c r="D17" i="13"/>
  <c r="F4" i="17"/>
  <c r="E6" i="14"/>
  <c r="D7" i="7"/>
  <c r="D14" i="24" s="1"/>
  <c r="D7" i="24"/>
  <c r="D5" i="7"/>
  <c r="F5" i="23"/>
  <c r="C33" i="24"/>
  <c r="C10" i="14"/>
  <c r="D7" i="17"/>
  <c r="K7" i="10"/>
  <c r="E69" i="24"/>
  <c r="C11" i="11"/>
  <c r="G5" i="10"/>
  <c r="C15" i="11"/>
  <c r="F32" i="24" s="1"/>
  <c r="D20" i="24"/>
  <c r="D8" i="20"/>
  <c r="D5" i="14"/>
  <c r="H6" i="15"/>
  <c r="E5" i="14"/>
  <c r="H7" i="15"/>
  <c r="D13" i="11"/>
  <c r="E5" i="23" s="1"/>
  <c r="D10" i="11"/>
  <c r="C8" i="14" s="1"/>
  <c r="F15" i="11"/>
  <c r="F35" i="24" s="1"/>
  <c r="E9" i="13"/>
  <c r="H14" i="19"/>
  <c r="D14" i="13"/>
  <c r="F28" i="22"/>
  <c r="C4" i="17"/>
  <c r="G11" i="11"/>
  <c r="C12" i="14"/>
  <c r="E6" i="13"/>
  <c r="E33" i="24"/>
  <c r="D9" i="17"/>
  <c r="D17" i="3"/>
  <c r="E14" i="11" s="1"/>
  <c r="G32" i="22" s="1"/>
  <c r="D9" i="4"/>
  <c r="E11" i="3"/>
  <c r="E17" i="3" s="1"/>
  <c r="F14" i="11" s="1"/>
  <c r="D33" i="24"/>
  <c r="D8" i="17"/>
  <c r="C11" i="14"/>
  <c r="B6" i="13"/>
  <c r="D10" i="3"/>
  <c r="E67" i="24"/>
  <c r="K5" i="10"/>
  <c r="F5" i="17"/>
  <c r="C17" i="13"/>
  <c r="C19" i="13" s="1"/>
  <c r="G7" i="15"/>
  <c r="E7" i="14"/>
  <c r="G35" i="24"/>
  <c r="E7" i="23"/>
  <c r="C5" i="14"/>
  <c r="H5" i="15"/>
  <c r="B5" i="14"/>
  <c r="H4" i="15"/>
  <c r="D10" i="7"/>
  <c r="D28" i="24" s="1"/>
  <c r="D9" i="6"/>
  <c r="D12" i="7"/>
  <c r="F5" i="14"/>
  <c r="H8" i="15"/>
  <c r="E10" i="11"/>
  <c r="D8" i="14" s="1"/>
  <c r="E13" i="11"/>
  <c r="E6" i="23" s="1"/>
  <c r="G9" i="20"/>
  <c r="F9" i="20"/>
  <c r="E9" i="20"/>
  <c r="B56" i="24"/>
  <c r="B6" i="14"/>
  <c r="B11" i="18"/>
  <c r="C5" i="25" s="1"/>
  <c r="D16" i="19"/>
  <c r="D10" i="20"/>
  <c r="B50" i="24" s="1"/>
  <c r="E10" i="20"/>
  <c r="F31" i="22"/>
  <c r="B55" i="24"/>
  <c r="G4" i="15"/>
  <c r="F10" i="20"/>
  <c r="G32" i="24"/>
  <c r="C41" i="24"/>
  <c r="G10" i="20"/>
  <c r="D4" i="24"/>
  <c r="D41" i="24"/>
  <c r="B7" i="14"/>
  <c r="C6" i="25"/>
  <c r="C8" i="25"/>
  <c r="E15" i="19"/>
  <c r="B17" i="3"/>
  <c r="C14" i="11" s="1"/>
  <c r="G29" i="22" s="1"/>
  <c r="C8" i="10"/>
  <c r="C70" i="24" s="1"/>
  <c r="D5" i="6"/>
  <c r="D9" i="20"/>
  <c r="B49" i="24" s="1"/>
  <c r="C6" i="10"/>
  <c r="C68" i="24" s="1"/>
  <c r="C5" i="17"/>
  <c r="J5" i="17" s="1"/>
  <c r="B5" i="19"/>
  <c r="C14" i="19"/>
  <c r="E4" i="23"/>
  <c r="D9" i="8"/>
  <c r="H17" i="19"/>
  <c r="H6" i="13" l="1"/>
  <c r="H5" i="13"/>
  <c r="H7" i="13"/>
  <c r="D7" i="12"/>
  <c r="C8" i="17"/>
  <c r="B11" i="14"/>
  <c r="B5" i="13"/>
  <c r="D32" i="24"/>
  <c r="D6" i="12"/>
  <c r="B16" i="20"/>
  <c r="D46" i="24"/>
  <c r="K13" i="19"/>
  <c r="B30" i="13"/>
  <c r="B92" i="24" s="1"/>
  <c r="J16" i="19"/>
  <c r="C49" i="24"/>
  <c r="N9" i="21"/>
  <c r="F9" i="17"/>
  <c r="E35" i="24"/>
  <c r="E12" i="14"/>
  <c r="E8" i="13"/>
  <c r="L4" i="17"/>
  <c r="E18" i="16"/>
  <c r="F18" i="16" s="1"/>
  <c r="E10" i="14"/>
  <c r="F7" i="17"/>
  <c r="C35" i="24"/>
  <c r="K7" i="17"/>
  <c r="F7" i="12"/>
  <c r="E14" i="19"/>
  <c r="D40" i="24"/>
  <c r="G14" i="19"/>
  <c r="I14" i="19" s="1"/>
  <c r="D19" i="13"/>
  <c r="I6" i="13" s="1"/>
  <c r="E21" i="13"/>
  <c r="E22" i="13"/>
  <c r="G31" i="22"/>
  <c r="C47" i="24"/>
  <c r="N7" i="21"/>
  <c r="J14" i="19"/>
  <c r="I9" i="13"/>
  <c r="H9" i="20"/>
  <c r="K5" i="17"/>
  <c r="B84" i="24"/>
  <c r="C34" i="24"/>
  <c r="E17" i="16"/>
  <c r="F17" i="16" s="1"/>
  <c r="E7" i="17"/>
  <c r="D10" i="14"/>
  <c r="D6" i="17"/>
  <c r="B33" i="24"/>
  <c r="B15" i="13"/>
  <c r="C9" i="14"/>
  <c r="M5" i="17"/>
  <c r="F10" i="21"/>
  <c r="B99" i="24"/>
  <c r="C46" i="24"/>
  <c r="J13" i="19"/>
  <c r="N6" i="21"/>
  <c r="K4" i="17"/>
  <c r="B18" i="13"/>
  <c r="G6" i="17"/>
  <c r="B36" i="24"/>
  <c r="F9" i="14"/>
  <c r="N5" i="17"/>
  <c r="E11" i="11"/>
  <c r="D9" i="12" s="1"/>
  <c r="E15" i="11"/>
  <c r="F34" i="24" s="1"/>
  <c r="E12" i="11"/>
  <c r="G7" i="10"/>
  <c r="G8" i="20"/>
  <c r="B48" i="24"/>
  <c r="K15" i="19"/>
  <c r="B18" i="20"/>
  <c r="D48" i="24"/>
  <c r="H10" i="20"/>
  <c r="M4" i="17"/>
  <c r="L5" i="17"/>
  <c r="G6" i="20"/>
  <c r="H6" i="20" s="1"/>
  <c r="J15" i="19"/>
  <c r="N8" i="21"/>
  <c r="C48" i="24"/>
  <c r="B34" i="24"/>
  <c r="E6" i="17"/>
  <c r="L6" i="17" s="1"/>
  <c r="B16" i="13"/>
  <c r="D9" i="14"/>
  <c r="H8" i="13"/>
  <c r="H9" i="13"/>
  <c r="C32" i="24"/>
  <c r="C11" i="25"/>
  <c r="B10" i="14"/>
  <c r="E15" i="16"/>
  <c r="F15" i="16" s="1"/>
  <c r="C7" i="17"/>
  <c r="J7" i="17" s="1"/>
  <c r="C50" i="24"/>
  <c r="N10" i="21"/>
  <c r="J17" i="19"/>
  <c r="G28" i="22"/>
  <c r="B82" i="24"/>
  <c r="B9" i="13"/>
  <c r="G8" i="17"/>
  <c r="F11" i="14"/>
  <c r="D36" i="24"/>
  <c r="I8" i="13"/>
  <c r="G30" i="22"/>
  <c r="C7" i="25"/>
  <c r="J4" i="17"/>
  <c r="F6" i="17"/>
  <c r="B17" i="13"/>
  <c r="E9" i="14"/>
  <c r="B35" i="24"/>
  <c r="C11" i="10"/>
  <c r="C10" i="25" s="1"/>
  <c r="C8" i="20"/>
  <c r="F8" i="20" s="1"/>
  <c r="B8" i="20"/>
  <c r="E8" i="20" s="1"/>
  <c r="H8" i="20" s="1"/>
  <c r="D49" i="24"/>
  <c r="K16" i="19"/>
  <c r="B19" i="20"/>
  <c r="C9" i="13" l="1"/>
  <c r="E9" i="12"/>
  <c r="E34" i="24"/>
  <c r="E9" i="17"/>
  <c r="D12" i="14"/>
  <c r="E7" i="13"/>
  <c r="F9" i="12"/>
  <c r="F5" i="12"/>
  <c r="F6" i="12"/>
  <c r="F8" i="12"/>
  <c r="C6" i="13"/>
  <c r="E6" i="12"/>
  <c r="O9" i="21"/>
  <c r="I7" i="23" s="1"/>
  <c r="D7" i="23"/>
  <c r="G6" i="13"/>
  <c r="E7" i="12"/>
  <c r="C7" i="13"/>
  <c r="M6" i="17"/>
  <c r="K6" i="17"/>
  <c r="D8" i="12"/>
  <c r="M7" i="17"/>
  <c r="I7" i="13"/>
  <c r="B19" i="13"/>
  <c r="G5" i="13" s="1"/>
  <c r="D28" i="13"/>
  <c r="D90" i="24" s="1"/>
  <c r="J18" i="20"/>
  <c r="K18" i="20" s="1"/>
  <c r="F8" i="21"/>
  <c r="G17" i="16"/>
  <c r="B97" i="24"/>
  <c r="I5" i="13"/>
  <c r="K10" i="21"/>
  <c r="F8" i="23"/>
  <c r="D34" i="24"/>
  <c r="E8" i="17"/>
  <c r="J8" i="17" s="1"/>
  <c r="D11" i="14"/>
  <c r="B7" i="13"/>
  <c r="D5" i="12"/>
  <c r="O8" i="21"/>
  <c r="I6" i="23" s="1"/>
  <c r="D6" i="23"/>
  <c r="O7" i="21"/>
  <c r="I5" i="23" s="1"/>
  <c r="D5" i="23"/>
  <c r="O6" i="21"/>
  <c r="I4" i="23" s="1"/>
  <c r="D4" i="23"/>
  <c r="K14" i="19"/>
  <c r="B17" i="20"/>
  <c r="D47" i="24"/>
  <c r="B26" i="13"/>
  <c r="B88" i="24" s="1"/>
  <c r="O10" i="21"/>
  <c r="I8" i="23" s="1"/>
  <c r="D8" i="23"/>
  <c r="J7" i="13"/>
  <c r="J8" i="13"/>
  <c r="J6" i="13"/>
  <c r="J5" i="13"/>
  <c r="J9" i="13"/>
  <c r="L7" i="17"/>
  <c r="B85" i="24"/>
  <c r="D9" i="13"/>
  <c r="G18" i="16"/>
  <c r="F9" i="21"/>
  <c r="B98" i="24"/>
  <c r="N6" i="17"/>
  <c r="G8" i="13"/>
  <c r="B95" i="24"/>
  <c r="F6" i="21"/>
  <c r="G15" i="16"/>
  <c r="G16" i="16"/>
  <c r="G9" i="13"/>
  <c r="B29" i="13"/>
  <c r="B91" i="24" s="1"/>
  <c r="J6" i="17"/>
  <c r="F7" i="13"/>
  <c r="G7" i="12"/>
  <c r="B81" i="24"/>
  <c r="G7" i="13"/>
  <c r="K7" i="13" s="1"/>
  <c r="G19" i="16"/>
  <c r="N7" i="17"/>
  <c r="M9" i="17"/>
  <c r="D18" i="18" l="1"/>
  <c r="B18" i="18"/>
  <c r="D27" i="13"/>
  <c r="D89" i="24" s="1"/>
  <c r="B27" i="13"/>
  <c r="B89" i="24" s="1"/>
  <c r="J17" i="20"/>
  <c r="K17" i="20" s="1"/>
  <c r="K9" i="13"/>
  <c r="L6" i="13"/>
  <c r="C82" i="24"/>
  <c r="D6" i="13"/>
  <c r="F8" i="13"/>
  <c r="G8" i="12"/>
  <c r="F6" i="13"/>
  <c r="G6" i="12"/>
  <c r="H6" i="12" s="1"/>
  <c r="N7" i="13"/>
  <c r="B83" i="24"/>
  <c r="D7" i="13"/>
  <c r="N8" i="17"/>
  <c r="D19" i="18" s="1"/>
  <c r="F5" i="13"/>
  <c r="G5" i="12"/>
  <c r="F9" i="13"/>
  <c r="G9" i="12"/>
  <c r="C8" i="13"/>
  <c r="E8" i="12"/>
  <c r="H8" i="12" s="1"/>
  <c r="L9" i="17"/>
  <c r="C17" i="18" s="1"/>
  <c r="N9" i="17"/>
  <c r="B19" i="18" s="1"/>
  <c r="J9" i="17"/>
  <c r="C10" i="17" s="1"/>
  <c r="K9" i="17"/>
  <c r="K8" i="21"/>
  <c r="F6" i="23"/>
  <c r="C19" i="18"/>
  <c r="G10" i="17"/>
  <c r="B28" i="13"/>
  <c r="B90" i="24" s="1"/>
  <c r="K9" i="21"/>
  <c r="F7" i="23"/>
  <c r="M7" i="13"/>
  <c r="O7" i="13" s="1"/>
  <c r="J7" i="12" s="1"/>
  <c r="L7" i="13"/>
  <c r="C83" i="24"/>
  <c r="K8" i="13"/>
  <c r="K8" i="17"/>
  <c r="D17" i="18"/>
  <c r="H7" i="12"/>
  <c r="E19" i="18"/>
  <c r="K5" i="13"/>
  <c r="K6" i="21"/>
  <c r="F4" i="23"/>
  <c r="K6" i="13"/>
  <c r="M6" i="13" s="1"/>
  <c r="H9" i="12"/>
  <c r="L8" i="17"/>
  <c r="E17" i="18" s="1"/>
  <c r="M8" i="17"/>
  <c r="C5" i="13"/>
  <c r="E5" i="12"/>
  <c r="C85" i="24"/>
  <c r="M9" i="13"/>
  <c r="L9" i="13"/>
  <c r="J20" i="20"/>
  <c r="K20" i="20" s="1"/>
  <c r="D30" i="13"/>
  <c r="D92" i="24" s="1"/>
  <c r="N6" i="13" l="1"/>
  <c r="O6" i="13"/>
  <c r="J6" i="12" s="1"/>
  <c r="B60" i="24"/>
  <c r="B64" i="24"/>
  <c r="E18" i="20"/>
  <c r="H18" i="20" s="1"/>
  <c r="E55" i="24" s="1"/>
  <c r="D76" i="24" s="1"/>
  <c r="D18" i="20"/>
  <c r="G18" i="20" s="1"/>
  <c r="C18" i="20"/>
  <c r="F18" i="20" s="1"/>
  <c r="C55" i="24" s="1"/>
  <c r="B76" i="24" s="1"/>
  <c r="D83" i="24"/>
  <c r="I7" i="12"/>
  <c r="K7" i="12" s="1"/>
  <c r="D8" i="21" s="1"/>
  <c r="I8" i="21" s="1"/>
  <c r="C28" i="13"/>
  <c r="C90" i="24" s="1"/>
  <c r="E16" i="18"/>
  <c r="D16" i="18"/>
  <c r="D10" i="17"/>
  <c r="B16" i="18"/>
  <c r="C16" i="18"/>
  <c r="O9" i="13"/>
  <c r="J9" i="12" s="1"/>
  <c r="N9" i="13"/>
  <c r="B17" i="18"/>
  <c r="H5" i="12"/>
  <c r="C15" i="18"/>
  <c r="E15" i="18"/>
  <c r="B25" i="18" s="1"/>
  <c r="M8" i="13"/>
  <c r="L8" i="13"/>
  <c r="C84" i="24"/>
  <c r="D8" i="13"/>
  <c r="D29" i="13"/>
  <c r="D91" i="24" s="1"/>
  <c r="J19" i="20"/>
  <c r="K19" i="20" s="1"/>
  <c r="D15" i="18"/>
  <c r="B24" i="18" s="1"/>
  <c r="E10" i="17"/>
  <c r="C15" i="17" s="1"/>
  <c r="C81" i="24"/>
  <c r="L5" i="13"/>
  <c r="M5" i="13"/>
  <c r="J16" i="20"/>
  <c r="K16" i="20" s="1"/>
  <c r="D26" i="13"/>
  <c r="D88" i="24" s="1"/>
  <c r="D5" i="13"/>
  <c r="B15" i="18"/>
  <c r="C18" i="18"/>
  <c r="G18" i="18" s="1"/>
  <c r="F10" i="17"/>
  <c r="G15" i="17" s="1"/>
  <c r="E18" i="18"/>
  <c r="C60" i="24" l="1"/>
  <c r="B6" i="21"/>
  <c r="G6" i="21" s="1"/>
  <c r="B10" i="21"/>
  <c r="G10" i="21" s="1"/>
  <c r="C64" i="24"/>
  <c r="C14" i="25"/>
  <c r="O5" i="13"/>
  <c r="J5" i="12" s="1"/>
  <c r="N5" i="13"/>
  <c r="H15" i="18"/>
  <c r="G15" i="18"/>
  <c r="F15" i="18"/>
  <c r="B22" i="18"/>
  <c r="D55" i="24"/>
  <c r="C76" i="24" s="1"/>
  <c r="I18" i="20"/>
  <c r="F15" i="17"/>
  <c r="B63" i="24"/>
  <c r="H17" i="18"/>
  <c r="G17" i="18"/>
  <c r="F17" i="18"/>
  <c r="F19" i="18"/>
  <c r="N8" i="13"/>
  <c r="O8" i="13"/>
  <c r="J8" i="12" s="1"/>
  <c r="C20" i="20"/>
  <c r="F20" i="20" s="1"/>
  <c r="C57" i="24" s="1"/>
  <c r="B78" i="24" s="1"/>
  <c r="D85" i="24"/>
  <c r="E20" i="20"/>
  <c r="H20" i="20" s="1"/>
  <c r="E57" i="24" s="1"/>
  <c r="D78" i="24" s="1"/>
  <c r="D20" i="20"/>
  <c r="G20" i="20" s="1"/>
  <c r="I9" i="12"/>
  <c r="K9" i="12" s="1"/>
  <c r="D10" i="21" s="1"/>
  <c r="I10" i="21" s="1"/>
  <c r="C30" i="13"/>
  <c r="C92" i="24" s="1"/>
  <c r="H16" i="18"/>
  <c r="G16" i="18"/>
  <c r="F16" i="18"/>
  <c r="E15" i="17"/>
  <c r="B62" i="24"/>
  <c r="H18" i="18"/>
  <c r="G19" i="18"/>
  <c r="B23" i="18"/>
  <c r="B13" i="17"/>
  <c r="B14" i="17" s="1"/>
  <c r="F18" i="18"/>
  <c r="H19" i="18"/>
  <c r="D15" i="17"/>
  <c r="B61" i="24"/>
  <c r="D82" i="24"/>
  <c r="E17" i="20"/>
  <c r="H17" i="20" s="1"/>
  <c r="E54" i="24" s="1"/>
  <c r="D75" i="24" s="1"/>
  <c r="D17" i="20"/>
  <c r="G17" i="20" s="1"/>
  <c r="C17" i="20"/>
  <c r="F17" i="20" s="1"/>
  <c r="C54" i="24" s="1"/>
  <c r="B75" i="24" s="1"/>
  <c r="I6" i="12"/>
  <c r="K6" i="12" s="1"/>
  <c r="D7" i="21" s="1"/>
  <c r="I7" i="21" s="1"/>
  <c r="C27" i="13"/>
  <c r="C89" i="24" s="1"/>
  <c r="B9" i="21" l="1"/>
  <c r="G9" i="21" s="1"/>
  <c r="C63" i="24"/>
  <c r="D57" i="24"/>
  <c r="C78" i="24" s="1"/>
  <c r="I20" i="20"/>
  <c r="B7" i="21"/>
  <c r="G7" i="21" s="1"/>
  <c r="C61" i="24"/>
  <c r="C15" i="25"/>
  <c r="I5" i="12"/>
  <c r="K5" i="12" s="1"/>
  <c r="D6" i="21" s="1"/>
  <c r="I6" i="21" s="1"/>
  <c r="E16" i="20"/>
  <c r="H16" i="20" s="1"/>
  <c r="E53" i="24" s="1"/>
  <c r="D74" i="24" s="1"/>
  <c r="D16" i="20"/>
  <c r="C16" i="20"/>
  <c r="F16" i="20" s="1"/>
  <c r="C53" i="24" s="1"/>
  <c r="B74" i="24" s="1"/>
  <c r="D81" i="24"/>
  <c r="C26" i="13"/>
  <c r="C88" i="24" s="1"/>
  <c r="B8" i="21"/>
  <c r="G8" i="21" s="1"/>
  <c r="L8" i="21" s="1"/>
  <c r="C62" i="24"/>
  <c r="C8" i="21"/>
  <c r="H8" i="21" s="1"/>
  <c r="C6" i="23"/>
  <c r="I17" i="20"/>
  <c r="D54" i="24"/>
  <c r="C75" i="24" s="1"/>
  <c r="D84" i="24"/>
  <c r="I8" i="12"/>
  <c r="K8" i="12" s="1"/>
  <c r="D9" i="21" s="1"/>
  <c r="I9" i="21" s="1"/>
  <c r="D19" i="20"/>
  <c r="G19" i="20" s="1"/>
  <c r="E19" i="20"/>
  <c r="H19" i="20" s="1"/>
  <c r="E56" i="24" s="1"/>
  <c r="D77" i="24" s="1"/>
  <c r="C19" i="20"/>
  <c r="F19" i="20" s="1"/>
  <c r="C56" i="24" s="1"/>
  <c r="B77" i="24" s="1"/>
  <c r="C29" i="13"/>
  <c r="C91" i="24" s="1"/>
  <c r="C9" i="25"/>
  <c r="M8" i="21" l="1"/>
  <c r="I19" i="20"/>
  <c r="D56" i="24"/>
  <c r="C77" i="24" s="1"/>
  <c r="C12" i="25"/>
  <c r="G16" i="20"/>
  <c r="C10" i="21"/>
  <c r="H10" i="21" s="1"/>
  <c r="L10" i="21" s="1"/>
  <c r="C8" i="23"/>
  <c r="C7" i="21"/>
  <c r="H7" i="21" s="1"/>
  <c r="C5" i="23"/>
  <c r="L7" i="21"/>
  <c r="M7" i="21" l="1"/>
  <c r="M10" i="21"/>
  <c r="I16" i="20"/>
  <c r="D53" i="24"/>
  <c r="C74" i="24" s="1"/>
  <c r="C9" i="21"/>
  <c r="H9" i="21" s="1"/>
  <c r="L9" i="21" s="1"/>
  <c r="C7" i="23"/>
  <c r="B6" i="23"/>
  <c r="C6" i="21" l="1"/>
  <c r="H6" i="21" s="1"/>
  <c r="L6" i="21" s="1"/>
  <c r="C4" i="23"/>
  <c r="M9" i="21"/>
  <c r="B8" i="23"/>
  <c r="B5" i="23"/>
  <c r="B7" i="23" l="1"/>
  <c r="M6" i="21"/>
  <c r="B4" i="23" l="1"/>
  <c r="C13" i="25"/>
  <c r="C18" i="25" s="1"/>
</calcChain>
</file>

<file path=xl/sharedStrings.xml><?xml version="1.0" encoding="utf-8"?>
<sst xmlns="http://schemas.openxmlformats.org/spreadsheetml/2006/main" count="1030" uniqueCount="631">
  <si>
    <t>Cement Sector - Financial Model</t>
  </si>
  <si>
    <t>UltraTech | Shree Cement | Ambuja | JK Cement | Dalmia Bharat</t>
  </si>
  <si>
    <t>Project</t>
  </si>
  <si>
    <t>Companies covered</t>
  </si>
  <si>
    <t>UltraTech (sector leader), Shree Cement (margin leader), Ambuja (Adani-group consolidator), JK Cement (grey + white cement growth), Dalmia Bharat (south/east-focused, low leverage).</t>
  </si>
  <si>
    <t>Base period</t>
  </si>
  <si>
    <t>Blue text</t>
  </si>
  <si>
    <t>Hardcoded/source input.</t>
  </si>
  <si>
    <t>Green text</t>
  </si>
  <si>
    <t>Formula linking to another worksheet.</t>
  </si>
  <si>
    <t>Sheet guide</t>
  </si>
  <si>
    <t>Company Rationale</t>
  </si>
  <si>
    <t>Why these five companies</t>
  </si>
  <si>
    <t>Master Data (FY26)</t>
  </si>
  <si>
    <t>Hist - &lt;company&gt;</t>
  </si>
  <si>
    <t>FY24-FY26 trends (FY26 links to Master Data)</t>
  </si>
  <si>
    <t>Ratio Analysis</t>
  </si>
  <si>
    <t>Growth, profitability, return, leverage and valuation ratios (all formulas)</t>
  </si>
  <si>
    <t>CCA Valuation</t>
  </si>
  <si>
    <t>Peer-median P/E and P/B implied prices</t>
  </si>
  <si>
    <t>Qualitative Analysis</t>
  </si>
  <si>
    <t>Positioning, catalysts, risks and watch triggers</t>
  </si>
  <si>
    <t>Investment Scorecard</t>
  </si>
  <si>
    <t>Weighted rank-based score</t>
  </si>
  <si>
    <t>Scorecard Sensitivity</t>
  </si>
  <si>
    <t>Score under 3 alternative weightings</t>
  </si>
  <si>
    <t>FY27-28E Assumptions</t>
  </si>
  <si>
    <t>Forward growth, margin assumptions and projected EPS</t>
  </si>
  <si>
    <t>Forward &amp; Historical Valuation</t>
  </si>
  <si>
    <t>Historical implied P/E and bear/base/bull prices</t>
  </si>
  <si>
    <t>Valuation Justification</t>
  </si>
  <si>
    <t>Convergence test for peer-median multiples</t>
  </si>
  <si>
    <t>Rating Rationale</t>
  </si>
  <si>
    <t>Threshold reasoning, qualitative rubric, robustness</t>
  </si>
  <si>
    <t>Macro &amp; Sector Data</t>
  </si>
  <si>
    <t>Sourced macro and sector indicators</t>
  </si>
  <si>
    <t>Capacity &amp; Efficiency</t>
  </si>
  <si>
    <t>Capacity, share, per-MTPA efficiency</t>
  </si>
  <si>
    <t>Cost &amp; Risk Assessment</t>
  </si>
  <si>
    <t>Cost structure and risk matrix</t>
  </si>
  <si>
    <t>Recommendation Matrix</t>
  </si>
  <si>
    <t>Rule-based rating</t>
  </si>
  <si>
    <t>Why These 5 Companies?</t>
  </si>
  <si>
    <t>Selection logic</t>
  </si>
  <si>
    <t>Three national leaders (UltraTech, Ambuja, Shree), a fast-growing mid-cap (JK Cement) and a low-leverage regional player (Dalmia) expose trade-offs in scale, margin, growth, leverage and valuation.</t>
  </si>
  <si>
    <t>Company</t>
  </si>
  <si>
    <t>Positioning and role in the comparison</t>
  </si>
  <si>
    <t>UltraTech</t>
  </si>
  <si>
    <t>Largest producer: 200.1 MTPA India capacity, about 27% of industry capacity; the benchmark for scale and pricing.</t>
  </si>
  <si>
    <t>Shree Cement</t>
  </si>
  <si>
    <t>Highest EBITDA margin in the set; 69.3 MTPA capacity growing towards 80+ MTPA; shares trade on the richest P/E.</t>
  </si>
  <si>
    <t>Ambuja</t>
  </si>
  <si>
    <t>Adani-group consolidator: 109 MTPA across Ambuja and ACC, target 119 MTPA; almost no debt but a large, low-return equity base.</t>
  </si>
  <si>
    <t>JK Cement</t>
  </si>
  <si>
    <t>Mid-size grey and white cement producer, 32.26 MTPA grey capacity with a plan for about 50 MTPA by FY30; best ROE but heaviest debt.</t>
  </si>
  <si>
    <t>Dalmia Bharat</t>
  </si>
  <si>
    <t>54.7 MTPA after a recent acquisition, 67 MTPA targeted by FY28; south and east focus, low leverage, profit recovering from FY25.</t>
  </si>
  <si>
    <t>Master Data - FY26 (Year ended 31-Mar-2026), Rs crore</t>
  </si>
  <si>
    <t>Metric</t>
  </si>
  <si>
    <t>Note</t>
  </si>
  <si>
    <t>Revenue (Rs Cr)</t>
  </si>
  <si>
    <t>FY26 consolidated, company releases / S&amp;P</t>
  </si>
  <si>
    <t>EBITDA (Rs Cr)</t>
  </si>
  <si>
    <t>Operating profit excl. other income (Ambuja: S&amp;P EBITDA)</t>
  </si>
  <si>
    <t>PAT attributable (Rs Cr)</t>
  </si>
  <si>
    <t>Consolidated PAT attributable where available</t>
  </si>
  <si>
    <t>Equity / Net Worth (Rs Cr)</t>
  </si>
  <si>
    <t>Book value/share x shares; Dalmia = reported shareholders fund; Ambuja = BVPS 205.90 x shares (owners equity, excludes minority interest)</t>
  </si>
  <si>
    <t>Current Market Price (Rs)</t>
  </si>
  <si>
    <t>Shares Outstanding (Cr)</t>
  </si>
  <si>
    <t>Exchange data or market cap / price</t>
  </si>
  <si>
    <t>Market Capitalization (Rs Cr)</t>
  </si>
  <si>
    <t>Price x shares</t>
  </si>
  <si>
    <t>Total Debt (Rs Cr)</t>
  </si>
  <si>
    <t>Gross borrowings; UltraTech incl. leases (S&amp;P); Shree, Ambuja, Dalmia as reported; JK = D/E 0.87 x equity</t>
  </si>
  <si>
    <t>Supporting inputs / derived figures</t>
  </si>
  <si>
    <t>FY26 Revenue Growth</t>
  </si>
  <si>
    <t>2Y Revenue CAGR (FY24-FY26)</t>
  </si>
  <si>
    <t>Book Value per Share (Rs)</t>
  </si>
  <si>
    <t>Debt / Equity</t>
  </si>
  <si>
    <t>UltraTech - Historical Financials (FY24-FY26)</t>
  </si>
  <si>
    <t>Consolidated, Rs crore. FY26 links to Master Data. Orange fill = derived or estimated input (see Basis column and Data Quality Log).</t>
  </si>
  <si>
    <t>FY24</t>
  </si>
  <si>
    <t>FY25</t>
  </si>
  <si>
    <t>FY26</t>
  </si>
  <si>
    <t>Basis / note</t>
  </si>
  <si>
    <t>Revenue YoY Growth %</t>
  </si>
  <si>
    <t>N/A</t>
  </si>
  <si>
    <t>EBITDA Margin %</t>
  </si>
  <si>
    <t>PAT (Rs Cr)</t>
  </si>
  <si>
    <t>PAT YoY Growth %</t>
  </si>
  <si>
    <t>Net Margin %</t>
  </si>
  <si>
    <t>Shree Cement - Historical Financials (FY24-FY26)</t>
  </si>
  <si>
    <t>Ambuja - Historical Financials (FY24-FY26)</t>
  </si>
  <si>
    <t>JK Cement - Historical Financials (FY24-FY26)</t>
  </si>
  <si>
    <t>Dalmia Bharat - Historical Financials (FY24-FY26)</t>
  </si>
  <si>
    <t>Macro &amp; Sector Data (sourced inputs and derived indicators)</t>
  </si>
  <si>
    <t>Blue = sourced input; mid-point = average of low and high. Sources are listed on the Sources &amp; References sheet.</t>
  </si>
  <si>
    <t>Indicator</t>
  </si>
  <si>
    <t>Low</t>
  </si>
  <si>
    <t>High</t>
  </si>
  <si>
    <t>Mid-point</t>
  </si>
  <si>
    <t>Unit</t>
  </si>
  <si>
    <t>Source</t>
  </si>
  <si>
    <t>Real GDP growth FY26 (first advance estimate)</t>
  </si>
  <si>
    <t>%</t>
  </si>
  <si>
    <t>Economic Survey 2025-26 / PIB</t>
  </si>
  <si>
    <t>Real GDP growth FY27 (Survey range)</t>
  </si>
  <si>
    <t>Economic Survey 2025-26</t>
  </si>
  <si>
    <t>RBI projection, real GDP growth FY27</t>
  </si>
  <si>
    <t>RBI via EY / PGurus coverage</t>
  </si>
  <si>
    <t>Union capital expenditure FY27 (BE)</t>
  </si>
  <si>
    <t>Rs lakh Cr</t>
  </si>
  <si>
    <t>Union Budget 2026-27 (PIB)</t>
  </si>
  <si>
    <t>Effective capital expenditure FY27 (BE)</t>
  </si>
  <si>
    <t>Union capex as % of GDP FY27</t>
  </si>
  <si>
    <t>% GDP</t>
  </si>
  <si>
    <t>Union Budget 2026-27</t>
  </si>
  <si>
    <t>Effective capex as % of GDP FY27</t>
  </si>
  <si>
    <t>Cement volume growth FY26 (estimate)</t>
  </si>
  <si>
    <t>ICRA / Crisil</t>
  </si>
  <si>
    <t>Cement volume growth FY27E</t>
  </si>
  <si>
    <t>ICRA (Dec-2025, Jul-2026)</t>
  </si>
  <si>
    <t>Industry installed capacity FY25</t>
  </si>
  <si>
    <t>MTPA</t>
  </si>
  <si>
    <t>constrofacilitator.com</t>
  </si>
  <si>
    <t>Industry installed capacity FY26</t>
  </si>
  <si>
    <t>Industry installed capacity FY29E</t>
  </si>
  <si>
    <t>Capacity utilisation (national)</t>
  </si>
  <si>
    <t>ICRA</t>
  </si>
  <si>
    <t>Industry EBITDA margin FY26 (Crisil sample)</t>
  </si>
  <si>
    <t>Crisil Intelligence, Apr-2026</t>
  </si>
  <si>
    <t>Industry EBITDA margin FY27E</t>
  </si>
  <si>
    <t>OPBITDA per tonne FY26 (est.)</t>
  </si>
  <si>
    <t>Rs / tonne</t>
  </si>
  <si>
    <t>ICRA, May-2026</t>
  </si>
  <si>
    <t>OPBITDA per tonne FY27E</t>
  </si>
  <si>
    <t>Power and fuel share of total cost</t>
  </si>
  <si>
    <t>% of cost</t>
  </si>
  <si>
    <t>Crisil Intelligence</t>
  </si>
  <si>
    <t>Power, fuel and selling cost share of operating cost</t>
  </si>
  <si>
    <t>% of opex</t>
  </si>
  <si>
    <t>Imported petcoke share of fuel needs</t>
  </si>
  <si>
    <t>% of fuel</t>
  </si>
  <si>
    <t>Indian Cement Review, Apr-2026</t>
  </si>
  <si>
    <t>Power and fuel cost growth FY27E</t>
  </si>
  <si>
    <t>% YoY</t>
  </si>
  <si>
    <t>Selling cost growth FY27E</t>
  </si>
  <si>
    <t>Total cost growth FY27E</t>
  </si>
  <si>
    <t>Rural housing share of cement demand</t>
  </si>
  <si>
    <t>% of demand</t>
  </si>
  <si>
    <t>Crisil</t>
  </si>
  <si>
    <t>Infrastructure share of cement demand (about one third)</t>
  </si>
  <si>
    <t>Implied change in OPBITDA per tonne FY27E</t>
  </si>
  <si>
    <t>Capacity, market position and efficiency (indicative)</t>
  </si>
  <si>
    <t>Capacity is the latest reported figure (some include recent acquisitions), so per-MTPA ratios are indicative rather than precise.</t>
  </si>
  <si>
    <t>Installed capacity (MTPA)</t>
  </si>
  <si>
    <t>Share of industry capacity</t>
  </si>
  <si>
    <t>Revenue per MTPA (Rs Cr)</t>
  </si>
  <si>
    <t>EBITDA per MTPA (Rs Cr)</t>
  </si>
  <si>
    <t>PAT per MTPA (Rs Cr)</t>
  </si>
  <si>
    <t>Market cap per MTPA (Rs Cr)</t>
  </si>
  <si>
    <t>Target capacity (MTPA)</t>
  </si>
  <si>
    <t>Target year</t>
  </si>
  <si>
    <t>Planned capacity growth</t>
  </si>
  <si>
    <t>EBITDA/MTPA rank</t>
  </si>
  <si>
    <t>Capacity source / note</t>
  </si>
  <si>
    <t>FY28</t>
  </si>
  <si>
    <t>India capacity 200.1 MTPA (tradologie); domestic capacity to exceed 240 MTPA by FY28 (constrofacilitator)</t>
  </si>
  <si>
    <t>Medium term</t>
  </si>
  <si>
    <t>69.3 MTPA as of Jun-2026; target 80+ MTPA</t>
  </si>
  <si>
    <t>FY27</t>
  </si>
  <si>
    <t>Consolidated 109 MTPA (Ambuja and ACC), 119 MTPA by end FY27</t>
  </si>
  <si>
    <t>FY30</t>
  </si>
  <si>
    <t>Grey cement capacity; about 50 MTPA planned by FY30</t>
  </si>
  <si>
    <t>54.7 MTPA after acquisition (Q1 FY27); about 67 MTPA by FY28</t>
  </si>
  <si>
    <t>Total of five companies</t>
  </si>
  <si>
    <t>Investment Valuation &amp; Financial Metrics - FY26</t>
  </si>
  <si>
    <t>All formula-driven from Master Data (FY26)</t>
  </si>
  <si>
    <t>Formula / interpretation</t>
  </si>
  <si>
    <t>Direct link</t>
  </si>
  <si>
    <t>FY26 / FY25 - 1</t>
  </si>
  <si>
    <t>2Y Revenue CAGR</t>
  </si>
  <si>
    <t>(FY26/FY24)^(1/2)-1</t>
  </si>
  <si>
    <t>EBITDA Margin</t>
  </si>
  <si>
    <t>EBITDA / Revenue</t>
  </si>
  <si>
    <t>Net Margin</t>
  </si>
  <si>
    <t>PAT / Revenue</t>
  </si>
  <si>
    <t>P/E Ratio</t>
  </si>
  <si>
    <t>Market cap / PAT</t>
  </si>
  <si>
    <t>P/B Ratio</t>
  </si>
  <si>
    <t>Market cap / equity</t>
  </si>
  <si>
    <t>ROE</t>
  </si>
  <si>
    <t>PAT / FY26 equity</t>
  </si>
  <si>
    <t>Total debt / equity</t>
  </si>
  <si>
    <t>P/S Ratio</t>
  </si>
  <si>
    <t>Market cap / revenue</t>
  </si>
  <si>
    <t>Comparable Company Analysis - Peer-median P/E and P/B</t>
  </si>
  <si>
    <t>Each company is valued at the median multiple of the other four</t>
  </si>
  <si>
    <t>Price (Rs)</t>
  </si>
  <si>
    <t>Shares (Cr)</t>
  </si>
  <si>
    <t>Peer Median P/E (x)</t>
  </si>
  <si>
    <t>P/E Implied Price (Rs)</t>
  </si>
  <si>
    <t>Peer Median P/B (x)</t>
  </si>
  <si>
    <t>P/B Implied Price (Rs)</t>
  </si>
  <si>
    <t>Blended upside at full peer-median convergence</t>
  </si>
  <si>
    <t>Adjusted P/E implied price (Rs)</t>
  </si>
  <si>
    <t>Adjusted P/B implied price (Rs)</t>
  </si>
  <si>
    <t>Adjusted blended upside</t>
  </si>
  <si>
    <t>Columns D to H apply the full peer-median multiple. Columns I to K apply the convergence-adjusted multiple from the Valuation Justification sheet and drive the ratings.</t>
  </si>
  <si>
    <t>Valuation justification: should each company converge to the peer median?</t>
  </si>
  <si>
    <t>A discount to the peer median is only expected to close if fundamentals support it. Four equal-weight tests decide how much of the gap closes.</t>
  </si>
  <si>
    <t>Own P/E</t>
  </si>
  <si>
    <t>Peer-median P/E (other four)</t>
  </si>
  <si>
    <t>Premium / (discount) to median</t>
  </si>
  <si>
    <t>Own P/B</t>
  </si>
  <si>
    <t>Peer-median P/B (other four)</t>
  </si>
  <si>
    <t>Test 1: ROE at or above median</t>
  </si>
  <si>
    <t>Test 2: EBITDA margin at or above median</t>
  </si>
  <si>
    <t>Test 3: 2Y revenue CAGR at or above median</t>
  </si>
  <si>
    <t>Test 4: earnings quality (PAT/EBITDA within band)</t>
  </si>
  <si>
    <t>Fundamentals share (0-1)</t>
  </si>
  <si>
    <t>Position</t>
  </si>
  <si>
    <t>Convergence factor</t>
  </si>
  <si>
    <t>Adjusted P/E (x)</t>
  </si>
  <si>
    <t>Adjusted P/B (x)</t>
  </si>
  <si>
    <t>Why (analyst reading)</t>
  </si>
  <si>
    <t>Premium rests on best-in-set growth, scale and normal earnings quality, so no reversion to the median is assumed.</t>
  </si>
  <si>
    <t>Top margin supports some premium, but ROE and growth lag peers, so half of the premium is assumed to erode.</t>
  </si>
  <si>
    <t>Discount is partly deserved: lowest EBITDA margin and a profit base with one-offs (earnings-quality test fails), so only half the gap to the median is assumed to close.</t>
  </si>
  <si>
    <t>Premium is partly backed by ROE and growth, but debt is the highest in the set; a quarter of the premium is assumed to erode.</t>
  </si>
  <si>
    <t>Discount reflects flat revenue and a weaker ROE; margins are strong and leverage moderate, so half the gap is assumed to close.</t>
  </si>
  <si>
    <t>Rule: if the company trades at a discount, the share of the gap that closes equals its fundamentals share; if it trades at a premium, the share of the premium that erodes is 1 minus its fundamentals share. Adjusted multiple = own multiple + factor x (peer median - own multiple).</t>
  </si>
  <si>
    <t>Fundamentals test data</t>
  </si>
  <si>
    <t>EBITDA margin</t>
  </si>
  <si>
    <t>2Y revenue CAGR</t>
  </si>
  <si>
    <t>PAT / EBITDA (FY26)</t>
  </si>
  <si>
    <t>Median of five</t>
  </si>
  <si>
    <t>Earnings-quality band (+/- of median)</t>
  </si>
  <si>
    <t>Band low</t>
  </si>
  <si>
    <t>Band high</t>
  </si>
  <si>
    <t>Forward upside on FY28E EPS</t>
  </si>
  <si>
    <t>No convergence (hold current P/E)</t>
  </si>
  <si>
    <t>Rule-based (adjusted)</t>
  </si>
  <si>
    <t>Full convergence (peer median)</t>
  </si>
  <si>
    <t>Dashboard - FY26 Peer Comparison</t>
  </si>
  <si>
    <t>Green = best in peer set, red = weakest</t>
  </si>
  <si>
    <t>Qualitative Analysis - Positioning, Catalysts, Risks &amp; Watch Triggers</t>
  </si>
  <si>
    <t>Scale/Growth Score (1-5)</t>
  </si>
  <si>
    <t>Cost &amp; Balance-Sheet Score (1-5)</t>
  </si>
  <si>
    <t>Positioning</t>
  </si>
  <si>
    <t>Key growth catalyst</t>
  </si>
  <si>
    <t>Key risk</t>
  </si>
  <si>
    <t>Watch trigger - Margin</t>
  </si>
  <si>
    <t>Watch trigger - Growth</t>
  </si>
  <si>
    <t>Watch trigger - Valuation / Leverage</t>
  </si>
  <si>
    <t>Largest producer, 200.1 MTPA, pan-India footprint</t>
  </si>
  <si>
    <t>Domestic capacity to exceed 240 MTPA by FY28</t>
  </si>
  <si>
    <t>Premium valuation relative to peers; exposed to fuel and freight inflation</t>
  </si>
  <si>
    <t>P/E above ~45x without EPS upgrades</t>
  </si>
  <si>
    <t>Highest EBITDA margin in the peer set; 69.3 MTPA, strong in North India</t>
  </si>
  <si>
    <t>New 3.0 MTPA line at Jaitaran (Feb-2026); target 80+ MTPA</t>
  </si>
  <si>
    <t>Slow revenue growth; richest P/E in the set</t>
  </si>
  <si>
    <t>P/E stays above ~45x with flat earnings</t>
  </si>
  <si>
    <t>109 MTPA across Ambuja and ACC; almost debt free</t>
  </si>
  <si>
    <t>Target 119 MTPA by end FY27; integration of acquired capacity</t>
  </si>
  <si>
    <t>Lowest EBITDA margin in the set; FY26 profit includes non-recurring items</t>
  </si>
  <si>
    <t>ROE stays below ~9% as equity grows</t>
  </si>
  <si>
    <t>32.26 MTPA grey cement plus white cement and wall putty</t>
  </si>
  <si>
    <t>Plan to reach about 50 MTPA by FY30</t>
  </si>
  <si>
    <t>Highest debt/equity in the set; richest P/B</t>
  </si>
  <si>
    <t>Debt/Equity above ~1.0x</t>
  </si>
  <si>
    <t>54.7 MTPA after acquisition; South and East focus</t>
  </si>
  <si>
    <t>Target about 67 MTPA by FY28</t>
  </si>
  <si>
    <t>Southern capacity overhang (ICRA); flat revenue over two years</t>
  </si>
  <si>
    <t>Net debt/EBITDA above ~1.0x during expansion</t>
  </si>
  <si>
    <t>Scoring: 5 = clearly leading; 3 = average; 1 = weak. Analyst judgement, informed by FY26 disclosures.</t>
  </si>
  <si>
    <t>Cost structure and risk assessment</t>
  </si>
  <si>
    <t>Part A links to sourced sector data. Part B scores are analyst judgement (1 = low risk, 5 = high risk) except balance-sheet risk, which is formula-driven from Debt/Equity.</t>
  </si>
  <si>
    <t>A. Sector cost structure (mid-points)</t>
  </si>
  <si>
    <t>Item</t>
  </si>
  <si>
    <t>Reading</t>
  </si>
  <si>
    <t>Largest controllable cost; coal and petcoke driven</t>
  </si>
  <si>
    <t>Power, fuel and selling share of opex</t>
  </si>
  <si>
    <t>Fuel plus freight and packaging decide margins</t>
  </si>
  <si>
    <t>Imported petcoke share of fuel</t>
  </si>
  <si>
    <t>Exposure to crude and rupee moves</t>
  </si>
  <si>
    <t>Main source of FY27 margin pressure</t>
  </si>
  <si>
    <t>Cost growth above realisation growth compresses margins</t>
  </si>
  <si>
    <t>ICRA outlook</t>
  </si>
  <si>
    <t>B. Company risk matrix</t>
  </si>
  <si>
    <t>Energy and fuel exposure</t>
  </si>
  <si>
    <t>Logistics and geographic concentration</t>
  </si>
  <si>
    <t>Regulatory and environmental</t>
  </si>
  <si>
    <t>Balance-sheet risk (from D/E)</t>
  </si>
  <si>
    <t>Composite risk</t>
  </si>
  <si>
    <t>Risk rank (1 = lowest)</t>
  </si>
  <si>
    <t>Rationale (analyst view)</t>
  </si>
  <si>
    <t>Pan-India network spreads regional risk; largest fuel buyer so cost swings matter; moderate leverage.</t>
  </si>
  <si>
    <t>North-led footprint with above-average utilisation, strong cost record; almost no debt; growth is slow.</t>
  </si>
  <si>
    <t>Spread across regions after acquisitions; integration risk; nearly debt free.</t>
  </si>
  <si>
    <t>Mid-size with north, central and south plants; highest leverage in the set.</t>
  </si>
  <si>
    <t>South and East focus where capacity overhang keeps utilisation and prices weaker (ICRA, Ind-Ra); modest leverage.</t>
  </si>
  <si>
    <t>Balance-sheet risk score thresholds (Debt/Equity)</t>
  </si>
  <si>
    <t>Score 1 if D/E below</t>
  </si>
  <si>
    <t>Score 2 if D/E below</t>
  </si>
  <si>
    <t>Score 3 if D/E below</t>
  </si>
  <si>
    <t>Score 4 if D/E below</t>
  </si>
  <si>
    <t>Investment Scorecard - Quantitative Screening</t>
  </si>
  <si>
    <t>Rank scores (5 = best of 5)</t>
  </si>
  <si>
    <t>Weight</t>
  </si>
  <si>
    <t>Direction</t>
  </si>
  <si>
    <t>Higher is better</t>
  </si>
  <si>
    <t>Lower is better</t>
  </si>
  <si>
    <t>Weighted Score</t>
  </si>
  <si>
    <t>Weight Check</t>
  </si>
  <si>
    <t>Model Leader</t>
  </si>
  <si>
    <t>Leader / Score</t>
  </si>
  <si>
    <t>Rank</t>
  </si>
  <si>
    <t>Investment Scorecard - Weight Sensitivity</t>
  </si>
  <si>
    <t>Does the ranking survive reasonable alternative weightings?</t>
  </si>
  <si>
    <t>Base Case</t>
  </si>
  <si>
    <t>Growth-Tilted</t>
  </si>
  <si>
    <t>Quality-Tilted</t>
  </si>
  <si>
    <t>Valuation-Tilted</t>
  </si>
  <si>
    <t>Rank (Base)</t>
  </si>
  <si>
    <t>Best rank across scenarios</t>
  </si>
  <si>
    <t>Worst rank across scenarios</t>
  </si>
  <si>
    <t>Scenario Leader</t>
  </si>
  <si>
    <t>FY27E / FY28E Forward Operating Assumptions</t>
  </si>
  <si>
    <t>Analyst assumptions (not company guidance). FY27E reflects the sourced sector outlook: volumes +6-7%, prices +2-4%, EBITDA margin down 150-200 bps (Crisil) as fuel and freight rise; partial recovery assumed in FY28E.</t>
  </si>
  <si>
    <t>FY26 Revenue Growth (actual)</t>
  </si>
  <si>
    <t>FY27E Revenue Growth</t>
  </si>
  <si>
    <t>FY28E Revenue Growth</t>
  </si>
  <si>
    <t>FY27E EBITDA Margin</t>
  </si>
  <si>
    <t>FY28E EBITDA Margin</t>
  </si>
  <si>
    <t>FY27E Net Margin</t>
  </si>
  <si>
    <t>FY28E Net Margin</t>
  </si>
  <si>
    <t>Projected Financials &amp; Forward Multiples</t>
  </si>
  <si>
    <t>FY27E Revenue (Rs Cr)</t>
  </si>
  <si>
    <t>FY28E Revenue (Rs Cr)</t>
  </si>
  <si>
    <t>FY27E EBITDA (Rs Cr)</t>
  </si>
  <si>
    <t>FY28E EBITDA (Rs Cr)</t>
  </si>
  <si>
    <t>FY27E PAT (Rs Cr)</t>
  </si>
  <si>
    <t>FY28E PAT (Rs Cr)</t>
  </si>
  <si>
    <t>FY27E EPS (Rs)</t>
  </si>
  <si>
    <t>FY28E EPS (Rs)</t>
  </si>
  <si>
    <t>FY27E P/E (x, at CMP)</t>
  </si>
  <si>
    <t>FY28E P/E (x, at CMP)</t>
  </si>
  <si>
    <t>Forward &amp; Historical Valuation Cross-Checks</t>
  </si>
  <si>
    <t>A. Historical implied P/E - current price against FY24-FY26 EPS</t>
  </si>
  <si>
    <t>FY24 EPS (Rs)</t>
  </si>
  <si>
    <t>FY25 EPS (Rs)</t>
  </si>
  <si>
    <t>FY26 EPS (Rs)</t>
  </si>
  <si>
    <t>Implied P/E on FY24 EPS</t>
  </si>
  <si>
    <t>Implied P/E on FY25 EPS</t>
  </si>
  <si>
    <t>Implied P/E on FY26 EPS (=CMP P/E)</t>
  </si>
  <si>
    <t>3-Yr Trend Read</t>
  </si>
  <si>
    <t>B. Forward Bear / Base / Bull Valuation - FY28E EPS x convergence-adjusted P/E</t>
  </si>
  <si>
    <t>Bear P/E (x) (adjusted -15%)</t>
  </si>
  <si>
    <t>Base P/E (x) (convergence-adjusted)</t>
  </si>
  <si>
    <t>Bull P/E (x) (adjusted +15%)</t>
  </si>
  <si>
    <t>Bear Price (Rs)</t>
  </si>
  <si>
    <t>Base Price (Rs)</t>
  </si>
  <si>
    <t>Bull Price (Rs)</t>
  </si>
  <si>
    <t>Upside/(Downside) to Base vs CMP</t>
  </si>
  <si>
    <t>Full-convergence price (Rs)</t>
  </si>
  <si>
    <t>Full-convergence upside</t>
  </si>
  <si>
    <t>Recommendation matrix: rule-based rating, short-term and long-term view</t>
  </si>
  <si>
    <t>Scorecard rank</t>
  </si>
  <si>
    <t>Forward base upside</t>
  </si>
  <si>
    <t>CCA upside (convergence-adjusted)</t>
  </si>
  <si>
    <t>Qualitative score (avg)</t>
  </si>
  <si>
    <t>Vote: screen</t>
  </si>
  <si>
    <t>Vote: forward</t>
  </si>
  <si>
    <t>Vote: CCA</t>
  </si>
  <si>
    <t>Vote: quality</t>
  </si>
  <si>
    <t>Vote: risk</t>
  </si>
  <si>
    <t>Total votes</t>
  </si>
  <si>
    <t>Rating</t>
  </si>
  <si>
    <t>FY27E EPS growth</t>
  </si>
  <si>
    <t>Short-term view (6-12 m)</t>
  </si>
  <si>
    <t>Long-term view (3+ yrs)</t>
  </si>
  <si>
    <t>Screen vote +1 if rank at or better than</t>
  </si>
  <si>
    <t>Screen vote -1 if rank at or worse than</t>
  </si>
  <si>
    <t>Quality vote +1 if score at least</t>
  </si>
  <si>
    <t>Quality vote -1 if score below</t>
  </si>
  <si>
    <t>Risk vote +1 if composite risk at most</t>
  </si>
  <si>
    <t>Risk vote -1 if composite risk at least</t>
  </si>
  <si>
    <t>OVERWEIGHT if total votes at least</t>
  </si>
  <si>
    <t>UNDERWEIGHT if total votes at most</t>
  </si>
  <si>
    <t>A. Threshold reasoning (values link to the Recommendation Matrix)</t>
  </si>
  <si>
    <t>Rule</t>
  </si>
  <si>
    <t>Value</t>
  </si>
  <si>
    <t>Why this cut-off</t>
  </si>
  <si>
    <t>If you move it</t>
  </si>
  <si>
    <t>Top two of five (the top 40%) on the weighted scorecard</t>
  </si>
  <si>
    <t>Rank 1 only would make the vote very selective</t>
  </si>
  <si>
    <t>Bottom two of five; mirrors the +1 rule</t>
  </si>
  <si>
    <t>Rank 5 only would remove the penalty for fourth place</t>
  </si>
  <si>
    <t>Forward vote +1 if base upside at least</t>
  </si>
  <si>
    <t>About 15% is roughly a cost of equity of 12-13% plus a modest margin of safety over a 12-18 month horizon (analyst judgement)</t>
  </si>
  <si>
    <t>A lower bar rewards any positive return; a higher bar demands a big mispricing</t>
  </si>
  <si>
    <t>Forward vote -1 if base upside below</t>
  </si>
  <si>
    <t>Under about 5% is little more than a deposit-like return for equity risk</t>
  </si>
  <si>
    <t>Raising it penalises fairly priced stocks</t>
  </si>
  <si>
    <t>CCA vote +1 if adjusted upside at least</t>
  </si>
  <si>
    <t>Matches the 15% flex used for bull and bear cases: smaller gaps are inside the noise of a five-company median</t>
  </si>
  <si>
    <t>Narrower band makes the vote flip on small differences</t>
  </si>
  <si>
    <t>CCA vote -1 if adjusted upside at or below</t>
  </si>
  <si>
    <t>Symmetric to the +1 rule</t>
  </si>
  <si>
    <t>As above</t>
  </si>
  <si>
    <t>4 on the 1-5 rubric means clearly above average on scale and on cost/balance sheet</t>
  </si>
  <si>
    <t>3.5 would reward companies that are good on only one dimension</t>
  </si>
  <si>
    <t>Below 3 means below-average on average</t>
  </si>
  <si>
    <t>Lowering it removes the penalty for weak companies</t>
  </si>
  <si>
    <t>2.0 means average risk of 'low' (scores 1-2) across four risk dimensions; set from the scale, not from the results</t>
  </si>
  <si>
    <t>Raising it towards 2.5 would turn moderate risk into a positive</t>
  </si>
  <si>
    <t>3.0 is the scale midpoint: average risk of moderate or worse</t>
  </si>
  <si>
    <t>Lowering it penalises moderate risk</t>
  </si>
  <si>
    <t>Three net positive votes out of five is a clear majority</t>
  </si>
  <si>
    <t>At 2 the rating becomes easy to earn; at 4 it needs near-unanimity</t>
  </si>
  <si>
    <t>Symmetric: three net negative votes</t>
  </si>
  <si>
    <t>B. Qualitative scoring rubric (1 = weakest, 5 = strongest)</t>
  </si>
  <si>
    <t>Score</t>
  </si>
  <si>
    <t>Scale and growth</t>
  </si>
  <si>
    <t>Cost and balance sheet</t>
  </si>
  <si>
    <t>National leader with visible multi-year expansion</t>
  </si>
  <si>
    <t>Top-tier margin and low debt</t>
  </si>
  <si>
    <t>Large scale, or an expansion plan that clearly stands out</t>
  </si>
  <si>
    <t>Strong margin or low debt, with no clear weakness</t>
  </si>
  <si>
    <t>Mid-size, or growth that is slower than peers</t>
  </si>
  <si>
    <t>Mixed: one strength offset by one weakness</t>
  </si>
  <si>
    <t>Regional or niche with limited expansion</t>
  </si>
  <si>
    <t>High debt, or margin below peers</t>
  </si>
  <si>
    <t>Shrinking or stalled</t>
  </si>
  <si>
    <t>Weak margin and high debt</t>
  </si>
  <si>
    <t>Scale/growth score</t>
  </si>
  <si>
    <t>Evidence</t>
  </si>
  <si>
    <t>Cost/balance-sheet score</t>
  </si>
  <si>
    <t>Data cross-check: scale</t>
  </si>
  <si>
    <t>Data cross-check: cost</t>
  </si>
  <si>
    <t>Largest capacity, pan-India, domestic capacity to exceed 240 MTPA by FY28</t>
  </si>
  <si>
    <t>Above-median margin, moderate debt</t>
  </si>
  <si>
    <t>69.3 MTPA, strong in North; growth and planned expansion are modest</t>
  </si>
  <si>
    <t>Highest EBITDA margin, very low debt</t>
  </si>
  <si>
    <t>Second-largest capacity (109 MTPA) with 119 MTPA target and acquisitions to integrate</t>
  </si>
  <si>
    <t>Almost no debt, but the lowest EBITDA margin; rubric gives 3 (mixed)</t>
  </si>
  <si>
    <t>Small base (32 MTPA) but the fastest planned expansion (+55%)</t>
  </si>
  <si>
    <t>Highest debt/equity; margin below the median</t>
  </si>
  <si>
    <t>54.7 MTPA, +22% planned; South/East exposure</t>
  </si>
  <si>
    <t>Second-best EBITDA margin, moderate debt</t>
  </si>
  <si>
    <t>Valuation</t>
  </si>
  <si>
    <t>Growth</t>
  </si>
  <si>
    <t>Profitability and returns</t>
  </si>
  <si>
    <t>Leverage and risk</t>
  </si>
  <si>
    <t>Key catalyst</t>
  </si>
  <si>
    <t>Short-term and long-term view</t>
  </si>
  <si>
    <t>Chart data: every deck chart reads from these cells (all formulas)</t>
  </si>
  <si>
    <t>Net margin</t>
  </si>
  <si>
    <t>FY26 ratios</t>
  </si>
  <si>
    <t>Debt/Equity</t>
  </si>
  <si>
    <t>P/E</t>
  </si>
  <si>
    <t>P/B</t>
  </si>
  <si>
    <t>P/S</t>
  </si>
  <si>
    <t>FY26A</t>
  </si>
  <si>
    <t>FY27E</t>
  </si>
  <si>
    <t>FY28E</t>
  </si>
  <si>
    <t>EPS (Rs)</t>
  </si>
  <si>
    <t>CMP</t>
  </si>
  <si>
    <t>Bear</t>
  </si>
  <si>
    <t>Base</t>
  </si>
  <si>
    <t>Bull</t>
  </si>
  <si>
    <t>Scorecard</t>
  </si>
  <si>
    <t>Weighted score</t>
  </si>
  <si>
    <t>Capacity</t>
  </si>
  <si>
    <t>Share of industry</t>
  </si>
  <si>
    <t>Revenue / MTPA</t>
  </si>
  <si>
    <t>EBITDA / MTPA</t>
  </si>
  <si>
    <t>Planned growth</t>
  </si>
  <si>
    <t>Upside vs CMP</t>
  </si>
  <si>
    <t>P/E view</t>
  </si>
  <si>
    <t>Current</t>
  </si>
  <si>
    <t>Peer median (other four)</t>
  </si>
  <si>
    <t>Adjusted base</t>
  </si>
  <si>
    <t>Forward upside by convergence</t>
  </si>
  <si>
    <t>No convergence</t>
  </si>
  <si>
    <t>Rule-based</t>
  </si>
  <si>
    <t>Full convergence</t>
  </si>
  <si>
    <t>Composite risk (1-5)</t>
  </si>
  <si>
    <t>Model integrity checks</t>
  </si>
  <si>
    <t>Each check returns OK or CHECK. The last cell summarises.</t>
  </si>
  <si>
    <t>#</t>
  </si>
  <si>
    <t>Check</t>
  </si>
  <si>
    <t>Result</t>
  </si>
  <si>
    <t>Scorecard weights sum to 100%</t>
  </si>
  <si>
    <t>Sensitivity weights sum to 100% in all four cases</t>
  </si>
  <si>
    <t>Historical FY26 revenue ties to Master Data</t>
  </si>
  <si>
    <t>Market cap equals price x shares</t>
  </si>
  <si>
    <t>Ratio Analysis revenue ties to Master Data</t>
  </si>
  <si>
    <t>Scorecard ranks are 1 to 5 with no ties</t>
  </si>
  <si>
    <t>Capacity shares of the five companies are below 100%</t>
  </si>
  <si>
    <t>Debt/Equity on Ratio Analysis equals Master Data</t>
  </si>
  <si>
    <t>Forward base price equals EPS x peer-median P/E</t>
  </si>
  <si>
    <t>No error values in core calculation sheets</t>
  </si>
  <si>
    <t>Convergence factors lie between 0 and 1</t>
  </si>
  <si>
    <t>Adjusted P/E lies between own P/E and peer-median P/E</t>
  </si>
  <si>
    <t>Rating thresholds are consistent (OVERWEIGHT above UNDERWEIGHT)</t>
  </si>
  <si>
    <t>Overall</t>
  </si>
  <si>
    <t>Data quality log: every derived, estimated or judgement-based input</t>
  </si>
  <si>
    <t>Orange cells in the workbook map to rows below. Flex tests were run by changing the input, recalculating the whole model and comparing the five ratings.</t>
  </si>
  <si>
    <t>Where</t>
  </si>
  <si>
    <t>Basis</t>
  </si>
  <si>
    <t>Method and source</t>
  </si>
  <si>
    <t>Used in</t>
  </si>
  <si>
    <t>Rating impact (flex test)</t>
  </si>
  <si>
    <t>JK Cement FY25 EBITDA</t>
  </si>
  <si>
    <t>Hist - JK Cement C6</t>
  </si>
  <si>
    <t>Derived</t>
  </si>
  <si>
    <t>FY26 EBITDA 2,374 / 1.17 (reported 17% growth). Company call says FY25 EBITDA was marginally below FY24's 2,006, so this may be 1-2% high</t>
  </si>
  <si>
    <t>FY25 EBITDA margin chart only</t>
  </si>
  <si>
    <t>Tested -5% / +5%: no rating changes in either direction (input is not used in valuation)</t>
  </si>
  <si>
    <t>Shree EBITDA FY24-FY26</t>
  </si>
  <si>
    <t>Master C5; Hist - Shree B6:C6</t>
  </si>
  <si>
    <t>Sum of four reported quarterly operating profits (excl. other income)</t>
  </si>
  <si>
    <t>EBITDA margin, scorecard, projections base</t>
  </si>
  <si>
    <t>Tested -5% / +5%: no rating changes in either direction</t>
  </si>
  <si>
    <t>Equity: UltraTech, Shree, Ambuja, JK</t>
  </si>
  <si>
    <t>Master B7:E7</t>
  </si>
  <si>
    <t>Book value per share x shares outstanding (Anand Rathi BVPS). Ambuja uses owners' equity, not the 71,846 Cr company net worth that includes minority interest</t>
  </si>
  <si>
    <t>ROE, P/B, Debt/Equity, CCA, scorecard</t>
  </si>
  <si>
    <t>Share count: UltraTech, Ambuja</t>
  </si>
  <si>
    <t>Master B9, D9</t>
  </si>
  <si>
    <t>UltraTech: Q3 FY26 PAT / EPS; Ambuja: Mar-26 market cap / price</t>
  </si>
  <si>
    <t>Market cap, EPS, P/E, forward EPS</t>
  </si>
  <si>
    <t>Debt: Shree and JK Cement</t>
  </si>
  <si>
    <t>Master C11, E11</t>
  </si>
  <si>
    <t>Reported Debt/Equity ratio x equity</t>
  </si>
  <si>
    <t>Debt/Equity, scorecard, risk score</t>
  </si>
  <si>
    <t>Tested -20% / +20%: no rating changes in either direction</t>
  </si>
  <si>
    <t>UltraTech debt definition</t>
  </si>
  <si>
    <t>Master B11</t>
  </si>
  <si>
    <t>Reported (definition)</t>
  </si>
  <si>
    <t>S&amp;P total debt including leases (Rs 23,755 Cr); other companies are borrowings as reported</t>
  </si>
  <si>
    <t>JK Cement profit definition</t>
  </si>
  <si>
    <t>Hist - JK Cement B8:D8</t>
  </si>
  <si>
    <t>Reported (series choice)</t>
  </si>
  <si>
    <t>Business Standard / Capital Market consolidated series for all three years; company-quoted attributable profit is about 5% higher</t>
  </si>
  <si>
    <t>P/E, ROE, EPS</t>
  </si>
  <si>
    <t>Not flexed (definition or date issue, not an estimate)</t>
  </si>
  <si>
    <t>Ambuja FY26 profit quality</t>
  </si>
  <si>
    <t>Master D6</t>
  </si>
  <si>
    <t>Reported, flagged</t>
  </si>
  <si>
    <t>Includes tax and other-income effects; handled by the earnings-quality test and by normalising FY27E net margin</t>
  </si>
  <si>
    <t>P/E, convergence factor</t>
  </si>
  <si>
    <t>Capacity (MTPA)</t>
  </si>
  <si>
    <t>Capacity &amp; Efficiency B5:B9</t>
  </si>
  <si>
    <t>Reported (mixed dates)</t>
  </si>
  <si>
    <t>Latest reported; Dalmia and Shree figures include recent additions</t>
  </si>
  <si>
    <t>Per-MTPA efficiency, market share</t>
  </si>
  <si>
    <t>Forward revenue growth and margins</t>
  </si>
  <si>
    <t>Assumption</t>
  </si>
  <si>
    <t>Analyst view anchored to ICRA / Crisil outlook</t>
  </si>
  <si>
    <t>FY27E-FY28E EPS, forward valuation</t>
  </si>
  <si>
    <t>Margin -100 bps turns UltraTech to HOLD and JK Cement to UNDERWEIGHT; +100 bps changes nothing. Ratings depend on forward margins: treat UltraTech OVERWEIGHT as marginal</t>
  </si>
  <si>
    <t>Forward revenue growth</t>
  </si>
  <si>
    <t>FY27-28E Assumptions C5:D9</t>
  </si>
  <si>
    <t>Analyst view</t>
  </si>
  <si>
    <t>FY27E-FY28E EPS</t>
  </si>
  <si>
    <t>Growth -2 pp turns UltraTech to HOLD; +2 pp changes nothing. Treat UltraTech OVERWEIGHT as marginal</t>
  </si>
  <si>
    <t>Qualitative and risk scores</t>
  </si>
  <si>
    <t>Qualitative Analysis; Cost &amp; Risk Assessment</t>
  </si>
  <si>
    <t>Judgement</t>
  </si>
  <si>
    <t>Scored against the rubric on Rating Rationale</t>
  </si>
  <si>
    <t>Quality and risk votes</t>
  </si>
  <si>
    <t>Share prices</t>
  </si>
  <si>
    <t>Master row 8</t>
  </si>
  <si>
    <t>Reported (dated)</t>
  </si>
  <si>
    <t>Close of 18-Sep-2026</t>
  </si>
  <si>
    <t>Market cap, all multiples</t>
  </si>
  <si>
    <t>Flex-test detail</t>
  </si>
  <si>
    <t>Derived equity -5% (UltraTech, Shree, Ambuja, JK)</t>
  </si>
  <si>
    <t>No rating changes</t>
  </si>
  <si>
    <t>Derived equity +5%</t>
  </si>
  <si>
    <t>Derived share count -5% (UltraTech, Ambuja)</t>
  </si>
  <si>
    <t>Derived share count +5%</t>
  </si>
  <si>
    <t>Derived debt -20% (Shree, JK)</t>
  </si>
  <si>
    <t>Derived debt +20%</t>
  </si>
  <si>
    <t>JK Cement FY25 EBITDA -5%</t>
  </si>
  <si>
    <t>JK Cement FY25 EBITDA +5%</t>
  </si>
  <si>
    <t>Shree EBITDA (FY26 base) -5%</t>
  </si>
  <si>
    <t>Shree EBITDA +5%</t>
  </si>
  <si>
    <t>FY27E-28E EBITDA margin -100 bps (net margin -70 bps), all companies</t>
  </si>
  <si>
    <t>Changes: UltraTech OVERWEIGHT to HOLD; JK Cement HOLD to UNDERWEIGHT</t>
  </si>
  <si>
    <t>FY27E-28E EBITDA margin +100 bps (net margin +70 bps)</t>
  </si>
  <si>
    <t>FY27E-28E revenue growth -2 pp</t>
  </si>
  <si>
    <t>Changes: UltraTech OVERWEIGHT to HOLD</t>
  </si>
  <si>
    <t>FY27E-28E revenue growth +2 pp</t>
  </si>
  <si>
    <t>Sources &amp; References - Data Provenance</t>
  </si>
  <si>
    <t>Data item</t>
  </si>
  <si>
    <t>Source type</t>
  </si>
  <si>
    <t>Detail</t>
  </si>
  <si>
    <t>Revenue, EBITDA, PAT FY24-FY26 - UltraTech</t>
  </si>
  <si>
    <t>Company Q4FY26 release; Arihant Capital result update; S&amp;P via StockAnalysis</t>
  </si>
  <si>
    <t>adityabirla.com press release 27-Apr-2026; arihantcapital.com; stockanalysis.com/quote/nse/ULTRACEMCO</t>
  </si>
  <si>
    <t>Company Q4FY26 release (6-May-2026); quarterly operating profit (arthneeti); craytheon ratios</t>
  </si>
  <si>
    <t>shreecement.com; total debt 1,868 Cr, ROE 7.5%</t>
  </si>
  <si>
    <t>S&amp;P Global via StockAnalysis (revenue, EBITDA, net income); Adani release; Anand Rathi (book value per share 205.90). Company-reported net worth of 71,846 Cr includes minority interest and is not used</t>
  </si>
  <si>
    <t>stockanalysis.com/quote/nse/AMBUJACEM; adani.com newsroom</t>
  </si>
  <si>
    <t>Kotak Neo and Business Standard Q4FY26 coverage; fyers quarterly revenue</t>
  </si>
  <si>
    <t>FY24: revenue 11,556, EBITDA 2,006 (company), PAT 790.83 (Business Standard consolidated). FY25: revenue 11,879.15, PAT 861.12; FY25 EBITDA derived from reported 17% FY26 growth</t>
  </si>
  <si>
    <t>Company press release 28-Apr-2026 (NSE); Torus Digital / StockAnalysis balance sheet</t>
  </si>
  <si>
    <t>Income from operations FY24 14,691 / FY25 13,980 / FY26 14,804; EBITDA FY24 2,639 (press release 24-Apr-2024); PAT FY24 853 (Business Standard); equity 17,979 Cr; debt 7,428 Cr</t>
  </si>
  <si>
    <t>Shares outstanding</t>
  </si>
  <si>
    <t>Exchange shareholding data or market cap / price</t>
  </si>
  <si>
    <t>Ambuja: 107,326.6 Cr mkt cap / Rs 420.55 (20-Mar-2026)</t>
  </si>
  <si>
    <t>Industry capacity, volumes, costs, margins</t>
  </si>
  <si>
    <t>ICRA (May-2026, Jul-2026), Crisil Intelligence (Apr-2026), Ind-Ra, constrofacilitator.com</t>
  </si>
  <si>
    <t>Capacity 702 MTPA FY26, 867 MTPA FY29; power and fuel 26-28% of cost; FY27 volumes +6-7%; margins down 150-200 bps</t>
  </si>
  <si>
    <t>Company capacity (MTPA)</t>
  </si>
  <si>
    <t>tradologie.com (200.1 / 109 / 69.3 / 54.7), constrofacilitator.com (targets and shares), businessesestate.com</t>
  </si>
  <si>
    <t>JK Cement 32.26 MTPA grey capacity; targets: UltraTech &gt;240 FY28, Ambuja 119, Shree 80, Dalmia 67 FY28, JK 50 FY30</t>
  </si>
  <si>
    <t>Qualitative scores, catalysts, risks, FY27E/FY28E assumptions</t>
  </si>
  <si>
    <t>Analyst judgement (this project)</t>
  </si>
  <si>
    <t>Informed by company commentary; JK Lakshmi outlook of 6-7% FY27 demand growth</t>
  </si>
  <si>
    <t>FY26 (year ended 31-Mar-2026) for current ratios; FY24-FY26 for growth trends.</t>
  </si>
  <si>
    <t>Single source of truth for FY26 inputs, market data and derived items.</t>
  </si>
  <si>
    <t>Consolidated, Rs crore. FY26 links to Master Data.</t>
  </si>
  <si>
    <t xml:space="preserve">Rating rationale: why these cut-offs, </t>
  </si>
  <si>
    <t xml:space="preserve">Investment thesis by company </t>
  </si>
  <si>
    <t xml:space="preserve">Research &amp; Investment Recommendation in the Cement Sector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</si>
</sst>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\(#,##0\);\-"/>
    <numFmt numFmtId="165" formatCode="0.0%"/>
    <numFmt numFmtId="166" formatCode="0.0"/>
    <numFmt numFmtId="167" formatCode="0.0\x"/>
  </numFmts>
  <fonts count="14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8A8"/>
        <bgColor rgb="FFFFC7CE"/>
      </patternFill>
    </fill>
    <fill>
      <patternFill patternType="solid">
        <fgColor rgb="FF1F3A5F"/>
        <bgColor rgb="FF333333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4" borderId="0" xfId="0" applyFont="1" applyFill="1" applyAlignment="1">
      <alignment horizontal="center" vertical="center" wrapText="1"/>
    </xf>
    <xf numFmtId="164" fontId="5" fillId="0" borderId="0" xfId="0" applyNumberFormat="1" applyFont="1"/>
    <xf numFmtId="0" fontId="4" fillId="0" borderId="0" xfId="0" applyFont="1"/>
    <xf numFmtId="164" fontId="5" fillId="3" borderId="0" xfId="0" applyNumberFormat="1" applyFont="1" applyFill="1"/>
    <xf numFmtId="4" fontId="5" fillId="0" borderId="0" xfId="0" applyNumberFormat="1" applyFont="1"/>
    <xf numFmtId="4" fontId="5" fillId="3" borderId="0" xfId="0" applyNumberFormat="1" applyFont="1" applyFill="1"/>
    <xf numFmtId="164" fontId="4" fillId="0" borderId="0" xfId="0" applyNumberFormat="1" applyFont="1"/>
    <xf numFmtId="165" fontId="6" fillId="0" borderId="0" xfId="0" applyNumberFormat="1" applyFont="1"/>
    <xf numFmtId="4" fontId="4" fillId="0" borderId="0" xfId="0" applyNumberFormat="1" applyFont="1"/>
    <xf numFmtId="2" fontId="4" fillId="0" borderId="0" xfId="0" applyNumberFormat="1" applyFont="1"/>
    <xf numFmtId="164" fontId="6" fillId="0" borderId="0" xfId="0" applyNumberFormat="1" applyFont="1"/>
    <xf numFmtId="165" fontId="4" fillId="0" borderId="0" xfId="0" applyNumberFormat="1" applyFont="1"/>
    <xf numFmtId="164" fontId="4" fillId="3" borderId="0" xfId="0" applyNumberFormat="1" applyFont="1" applyFill="1"/>
    <xf numFmtId="165" fontId="5" fillId="0" borderId="0" xfId="0" applyNumberFormat="1" applyFont="1"/>
    <xf numFmtId="166" fontId="4" fillId="0" borderId="0" xfId="0" applyNumberFormat="1" applyFont="1"/>
    <xf numFmtId="3" fontId="4" fillId="0" borderId="0" xfId="0" applyNumberFormat="1" applyFont="1"/>
    <xf numFmtId="4" fontId="5" fillId="2" borderId="0" xfId="0" applyNumberFormat="1" applyFont="1" applyFill="1"/>
    <xf numFmtId="0" fontId="5" fillId="2" borderId="0" xfId="0" applyFont="1" applyFill="1"/>
    <xf numFmtId="1" fontId="4" fillId="0" borderId="0" xfId="0" applyNumberFormat="1" applyFont="1"/>
    <xf numFmtId="4" fontId="3" fillId="0" borderId="0" xfId="0" applyNumberFormat="1" applyFont="1"/>
    <xf numFmtId="165" fontId="3" fillId="0" borderId="0" xfId="0" applyNumberFormat="1" applyFont="1"/>
    <xf numFmtId="167" fontId="6" fillId="0" borderId="0" xfId="0" applyNumberFormat="1" applyFont="1"/>
    <xf numFmtId="2" fontId="6" fillId="0" borderId="0" xfId="0" applyNumberFormat="1" applyFont="1"/>
    <xf numFmtId="4" fontId="6" fillId="0" borderId="0" xfId="0" applyNumberFormat="1" applyFont="1"/>
    <xf numFmtId="167" fontId="4" fillId="0" borderId="0" xfId="0" applyNumberFormat="1" applyFont="1"/>
    <xf numFmtId="165" fontId="5" fillId="2" borderId="0" xfId="0" applyNumberFormat="1" applyFont="1" applyFill="1"/>
    <xf numFmtId="1" fontId="5" fillId="2" borderId="0" xfId="0" applyNumberFormat="1" applyFont="1" applyFill="1"/>
    <xf numFmtId="1" fontId="6" fillId="0" borderId="0" xfId="0" applyNumberFormat="1" applyFont="1"/>
    <xf numFmtId="2" fontId="5" fillId="2" borderId="0" xfId="0" applyNumberFormat="1" applyFont="1" applyFill="1"/>
    <xf numFmtId="9" fontId="5" fillId="2" borderId="0" xfId="0" applyNumberFormat="1" applyFont="1" applyFill="1"/>
    <xf numFmtId="2" fontId="3" fillId="0" borderId="0" xfId="0" applyNumberFormat="1" applyFont="1"/>
    <xf numFmtId="9" fontId="4" fillId="0" borderId="0" xfId="0" applyNumberFormat="1" applyFont="1"/>
    <xf numFmtId="9" fontId="6" fillId="0" borderId="0" xfId="0" applyNumberFormat="1" applyFont="1"/>
    <xf numFmtId="166" fontId="6" fillId="0" borderId="0" xfId="0" applyNumberFormat="1" applyFont="1"/>
    <xf numFmtId="1" fontId="3" fillId="0" borderId="0" xfId="0" applyNumberFormat="1" applyFont="1"/>
    <xf numFmtId="0" fontId="6" fillId="0" borderId="0" xfId="0" applyFont="1"/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9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10" fillId="0" borderId="0" xfId="0" applyFont="1"/>
    <xf numFmtId="0" fontId="8" fillId="0" borderId="0" xfId="0" applyFont="1"/>
    <xf numFmtId="0" fontId="0" fillId="0" borderId="0" xfId="0" applyAlignment="1"/>
    <xf numFmtId="0" fontId="12" fillId="0" borderId="0" xfId="0" applyFont="1"/>
    <xf numFmtId="0" fontId="8" fillId="0" borderId="0" xfId="0" applyFont="1" applyAlignment="1">
      <alignment vertical="top" wrapText="1"/>
    </xf>
    <xf numFmtId="0" fontId="3" fillId="7" borderId="0" xfId="0" applyFont="1" applyFill="1"/>
    <xf numFmtId="1" fontId="6" fillId="7" borderId="0" xfId="0" applyNumberFormat="1" applyFont="1" applyFill="1"/>
    <xf numFmtId="0" fontId="6" fillId="7" borderId="0" xfId="0" applyFont="1" applyFill="1"/>
    <xf numFmtId="0" fontId="4" fillId="7" borderId="0" xfId="0" applyFont="1" applyFill="1"/>
    <xf numFmtId="0" fontId="13" fillId="0" borderId="0" xfId="0" applyFont="1"/>
    <xf numFmtId="0" fontId="11" fillId="0" borderId="0" xfId="0" applyFont="1" applyAlignment="1">
      <alignment vertical="top" wrapText="1"/>
    </xf>
    <xf numFmtId="0" fontId="4" fillId="8" borderId="0" xfId="0" applyFont="1" applyFill="1"/>
    <xf numFmtId="0" fontId="4" fillId="0" borderId="0" xfId="0" applyFont="1" applyBorder="1" applyAlignment="1">
      <alignment vertical="top" wrapText="1"/>
    </xf>
  </cellXfs>
  <cellStyles count="1">
    <cellStyle name="Normal" xfId="0" builtinId="0"/>
  </cellStyles>
  <dxfs count="16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D8A8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EBITDA margin, FY26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Dashboard!$B$3:$F$3</c:f>
              <c:strCache>
                <c:ptCount val="5"/>
                <c:pt idx="0">
                  <c:v>UltraTech</c:v>
                </c:pt>
                <c:pt idx="1">
                  <c:v>Shree Cement</c:v>
                </c:pt>
                <c:pt idx="2">
                  <c:v>Ambuja</c:v>
                </c:pt>
                <c:pt idx="3">
                  <c:v>JK Cement</c:v>
                </c:pt>
                <c:pt idx="4">
                  <c:v>Dalmia Bharat</c:v>
                </c:pt>
              </c:strCache>
            </c:strRef>
          </c:cat>
          <c:val>
            <c:numRef>
              <c:f>Dashboard!$B$7:$F$7</c:f>
              <c:numCache>
                <c:formatCode>0.0%</c:formatCode>
                <c:ptCount val="5"/>
                <c:pt idx="0">
                  <c:v>0.19229365675646667</c:v>
                </c:pt>
                <c:pt idx="1">
                  <c:v>0.22145327397990877</c:v>
                </c:pt>
                <c:pt idx="2">
                  <c:v>0.15678736314957067</c:v>
                </c:pt>
                <c:pt idx="3">
                  <c:v>0.17300306799880488</c:v>
                </c:pt>
                <c:pt idx="4">
                  <c:v>0.2082545258038368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2-4718-B365-A5185A231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128350"/>
        <c:axId val="99292042"/>
      </c:barChart>
      <c:catAx>
        <c:axId val="801283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292042"/>
        <c:crosses val="autoZero"/>
        <c:auto val="1"/>
        <c:lblAlgn val="ctr"/>
        <c:lblOffset val="100"/>
        <c:noMultiLvlLbl val="0"/>
      </c:catAx>
      <c:valAx>
        <c:axId val="992920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1283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FY24-FY26 (Rs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FY24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Data'!$A$4:$A$8</c:f>
              <c:strCache>
                <c:ptCount val="5"/>
                <c:pt idx="0">
                  <c:v>UltraTech</c:v>
                </c:pt>
                <c:pt idx="1">
                  <c:v>Shree Cement</c:v>
                </c:pt>
                <c:pt idx="2">
                  <c:v>Ambuja</c:v>
                </c:pt>
                <c:pt idx="3">
                  <c:v>JK Cement</c:v>
                </c:pt>
                <c:pt idx="4">
                  <c:v>Dalmia Bharat</c:v>
                </c:pt>
              </c:strCache>
            </c:strRef>
          </c:cat>
          <c:val>
            <c:numRef>
              <c:f>'Chart Data'!$B$4:$B$8</c:f>
              <c:numCache>
                <c:formatCode>#,##0;\(#,##0\);\-</c:formatCode>
                <c:ptCount val="5"/>
                <c:pt idx="0">
                  <c:v>70908.100000000006</c:v>
                </c:pt>
                <c:pt idx="1">
                  <c:v>20403.8</c:v>
                </c:pt>
                <c:pt idx="2">
                  <c:v>33159.599999999999</c:v>
                </c:pt>
                <c:pt idx="3">
                  <c:v>11556</c:v>
                </c:pt>
                <c:pt idx="4">
                  <c:v>14691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A-49AB-8CD5-32470A671F73}"/>
            </c:ext>
          </c:extLst>
        </c:ser>
        <c:ser>
          <c:idx val="1"/>
          <c:order val="1"/>
          <c:tx>
            <c:strRef>
              <c:f>'Chart Data'!$C$3</c:f>
              <c:strCache>
                <c:ptCount val="1"/>
                <c:pt idx="0">
                  <c:v>FY25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Data'!$A$4:$A$8</c:f>
              <c:strCache>
                <c:ptCount val="5"/>
                <c:pt idx="0">
                  <c:v>UltraTech</c:v>
                </c:pt>
                <c:pt idx="1">
                  <c:v>Shree Cement</c:v>
                </c:pt>
                <c:pt idx="2">
                  <c:v>Ambuja</c:v>
                </c:pt>
                <c:pt idx="3">
                  <c:v>JK Cement</c:v>
                </c:pt>
                <c:pt idx="4">
                  <c:v>Dalmia Bharat</c:v>
                </c:pt>
              </c:strCache>
            </c:strRef>
          </c:cat>
          <c:val>
            <c:numRef>
              <c:f>'Chart Data'!$C$4:$C$8</c:f>
              <c:numCache>
                <c:formatCode>#,##0;\(#,##0\);\-</c:formatCode>
                <c:ptCount val="5"/>
                <c:pt idx="0">
                  <c:v>75955.100000000006</c:v>
                </c:pt>
                <c:pt idx="1">
                  <c:v>19282.830000000002</c:v>
                </c:pt>
                <c:pt idx="2">
                  <c:v>35336.400000000001</c:v>
                </c:pt>
                <c:pt idx="3">
                  <c:v>11879.15</c:v>
                </c:pt>
                <c:pt idx="4">
                  <c:v>13980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4A-49AB-8CD5-32470A671F73}"/>
            </c:ext>
          </c:extLst>
        </c:ser>
        <c:ser>
          <c:idx val="2"/>
          <c:order val="2"/>
          <c:tx>
            <c:strRef>
              <c:f>'Chart Data'!$D$3</c:f>
              <c:strCache>
                <c:ptCount val="1"/>
                <c:pt idx="0">
                  <c:v>FY26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Data'!$A$4:$A$8</c:f>
              <c:strCache>
                <c:ptCount val="5"/>
                <c:pt idx="0">
                  <c:v>UltraTech</c:v>
                </c:pt>
                <c:pt idx="1">
                  <c:v>Shree Cement</c:v>
                </c:pt>
                <c:pt idx="2">
                  <c:v>Ambuja</c:v>
                </c:pt>
                <c:pt idx="3">
                  <c:v>JK Cement</c:v>
                </c:pt>
                <c:pt idx="4">
                  <c:v>Dalmia Bharat</c:v>
                </c:pt>
              </c:strCache>
            </c:strRef>
          </c:cat>
          <c:val>
            <c:numRef>
              <c:f>'Chart Data'!$D$4:$D$8</c:f>
              <c:numCache>
                <c:formatCode>#,##0;\(#,##0\);\-</c:formatCode>
                <c:ptCount val="5"/>
                <c:pt idx="0">
                  <c:v>88511.5</c:v>
                </c:pt>
                <c:pt idx="1">
                  <c:v>20943.47</c:v>
                </c:pt>
                <c:pt idx="2">
                  <c:v>40655.699999999997</c:v>
                </c:pt>
                <c:pt idx="3">
                  <c:v>13722.3</c:v>
                </c:pt>
                <c:pt idx="4">
                  <c:v>14804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4A-49AB-8CD5-32470A671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89861"/>
        <c:axId val="81190357"/>
      </c:barChart>
      <c:catAx>
        <c:axId val="571898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190357"/>
        <c:crosses val="autoZero"/>
        <c:auto val="1"/>
        <c:lblAlgn val="ctr"/>
        <c:lblOffset val="100"/>
        <c:noMultiLvlLbl val="0"/>
      </c:catAx>
      <c:valAx>
        <c:axId val="811903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1898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FY26 ROE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Data'!$B$31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Data'!$A$32:$A$36</c:f>
              <c:strCache>
                <c:ptCount val="5"/>
                <c:pt idx="0">
                  <c:v>UltraTech</c:v>
                </c:pt>
                <c:pt idx="1">
                  <c:v>Shree Cement</c:v>
                </c:pt>
                <c:pt idx="2">
                  <c:v>Ambuja</c:v>
                </c:pt>
                <c:pt idx="3">
                  <c:v>JK Cement</c:v>
                </c:pt>
                <c:pt idx="4">
                  <c:v>Dalmia Bharat</c:v>
                </c:pt>
              </c:strCache>
            </c:strRef>
          </c:cat>
          <c:val>
            <c:numRef>
              <c:f>'Chart Data'!$B$32:$B$36</c:f>
              <c:numCache>
                <c:formatCode>0.00</c:formatCode>
                <c:ptCount val="5"/>
                <c:pt idx="0">
                  <c:v>0.11563616830914225</c:v>
                </c:pt>
                <c:pt idx="1">
                  <c:v>7.7677602832651696E-2</c:v>
                </c:pt>
                <c:pt idx="2">
                  <c:v>8.9980780881152356E-2</c:v>
                </c:pt>
                <c:pt idx="3">
                  <c:v>0.14258504782411027</c:v>
                </c:pt>
                <c:pt idx="4">
                  <c:v>6.4380666332943995E-2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3-4382-B126-A9CE1CC95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10716"/>
        <c:axId val="71641"/>
      </c:barChart>
      <c:catAx>
        <c:axId val="507107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641"/>
        <c:crosses val="autoZero"/>
        <c:auto val="1"/>
        <c:lblAlgn val="ctr"/>
        <c:lblOffset val="100"/>
        <c:noMultiLvlLbl val="0"/>
      </c:catAx>
      <c:valAx>
        <c:axId val="716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710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160560</xdr:rowOff>
    </xdr:from>
    <xdr:to>
      <xdr:col>15</xdr:col>
      <xdr:colOff>147600</xdr:colOff>
      <xdr:row>15</xdr:row>
      <xdr:rowOff>13320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160560</xdr:rowOff>
    </xdr:from>
    <xdr:to>
      <xdr:col>17</xdr:col>
      <xdr:colOff>256320</xdr:colOff>
      <xdr:row>16</xdr:row>
      <xdr:rowOff>182520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160560</xdr:rowOff>
    </xdr:from>
    <xdr:to>
      <xdr:col>17</xdr:col>
      <xdr:colOff>256320</xdr:colOff>
      <xdr:row>33</xdr:row>
      <xdr:rowOff>182880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zoomScaleNormal="100" workbookViewId="0">
      <selection activeCell="B2" sqref="B2"/>
    </sheetView>
  </sheetViews>
  <sheetFormatPr defaultColWidth="8.6640625"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 t="s">
        <v>630</v>
      </c>
    </row>
    <row r="5" spans="1:2" ht="26.4" x14ac:dyDescent="0.3">
      <c r="A5" s="3" t="s">
        <v>3</v>
      </c>
      <c r="B5" s="4" t="s">
        <v>4</v>
      </c>
    </row>
    <row r="6" spans="1:2" ht="20.399999999999999" customHeight="1" x14ac:dyDescent="0.3">
      <c r="A6" s="3" t="s">
        <v>5</v>
      </c>
      <c r="B6" s="4" t="s">
        <v>625</v>
      </c>
    </row>
    <row r="7" spans="1:2" ht="3" customHeight="1" x14ac:dyDescent="0.3">
      <c r="A7" s="3"/>
      <c r="B7" s="4"/>
    </row>
    <row r="8" spans="1:2" x14ac:dyDescent="0.3">
      <c r="A8" s="3" t="s">
        <v>6</v>
      </c>
      <c r="B8" s="5" t="s">
        <v>7</v>
      </c>
    </row>
    <row r="9" spans="1:2" ht="0.6" customHeight="1" x14ac:dyDescent="0.3">
      <c r="A9" s="3"/>
      <c r="B9" s="4"/>
    </row>
    <row r="10" spans="1:2" ht="10.8" customHeight="1" x14ac:dyDescent="0.3">
      <c r="A10" s="3" t="s">
        <v>8</v>
      </c>
      <c r="B10" s="6" t="s">
        <v>9</v>
      </c>
    </row>
    <row r="11" spans="1:2" ht="14.4" customHeight="1" x14ac:dyDescent="0.3">
      <c r="A11" s="3"/>
      <c r="B11" s="45"/>
    </row>
    <row r="12" spans="1:2" x14ac:dyDescent="0.3">
      <c r="A12" s="3" t="s">
        <v>10</v>
      </c>
      <c r="B12" s="4"/>
    </row>
    <row r="13" spans="1:2" x14ac:dyDescent="0.3">
      <c r="A13" s="3" t="s">
        <v>11</v>
      </c>
      <c r="B13" s="4" t="s">
        <v>12</v>
      </c>
    </row>
    <row r="14" spans="1:2" x14ac:dyDescent="0.3">
      <c r="A14" s="3" t="s">
        <v>13</v>
      </c>
      <c r="B14" s="4" t="s">
        <v>626</v>
      </c>
    </row>
    <row r="15" spans="1:2" x14ac:dyDescent="0.3">
      <c r="A15" s="3" t="s">
        <v>14</v>
      </c>
      <c r="B15" s="4" t="s">
        <v>15</v>
      </c>
    </row>
    <row r="16" spans="1:2" x14ac:dyDescent="0.3">
      <c r="A16" s="3" t="s">
        <v>16</v>
      </c>
      <c r="B16" s="4" t="s">
        <v>17</v>
      </c>
    </row>
    <row r="17" spans="1:2" x14ac:dyDescent="0.3">
      <c r="A17" s="3" t="s">
        <v>18</v>
      </c>
      <c r="B17" s="4" t="s">
        <v>19</v>
      </c>
    </row>
    <row r="18" spans="1:2" x14ac:dyDescent="0.3">
      <c r="A18" s="3" t="s">
        <v>20</v>
      </c>
      <c r="B18" s="4" t="s">
        <v>21</v>
      </c>
    </row>
    <row r="19" spans="1:2" x14ac:dyDescent="0.3">
      <c r="A19" s="3" t="s">
        <v>22</v>
      </c>
      <c r="B19" s="4" t="s">
        <v>23</v>
      </c>
    </row>
    <row r="20" spans="1:2" x14ac:dyDescent="0.3">
      <c r="A20" s="3" t="s">
        <v>24</v>
      </c>
      <c r="B20" s="4" t="s">
        <v>25</v>
      </c>
    </row>
    <row r="21" spans="1:2" x14ac:dyDescent="0.3">
      <c r="A21" s="3" t="s">
        <v>26</v>
      </c>
      <c r="B21" s="4" t="s">
        <v>27</v>
      </c>
    </row>
    <row r="22" spans="1:2" x14ac:dyDescent="0.3">
      <c r="A22" s="3" t="s">
        <v>28</v>
      </c>
      <c r="B22" s="4" t="s">
        <v>29</v>
      </c>
    </row>
    <row r="23" spans="1:2" x14ac:dyDescent="0.3">
      <c r="A23" s="3" t="s">
        <v>30</v>
      </c>
      <c r="B23" s="4" t="s">
        <v>31</v>
      </c>
    </row>
    <row r="24" spans="1:2" x14ac:dyDescent="0.3">
      <c r="A24" s="3" t="s">
        <v>32</v>
      </c>
      <c r="B24" s="4" t="s">
        <v>33</v>
      </c>
    </row>
    <row r="25" spans="1:2" ht="1.8" customHeight="1" x14ac:dyDescent="0.3">
      <c r="A25" s="3"/>
      <c r="B25" s="4"/>
    </row>
    <row r="26" spans="1:2" x14ac:dyDescent="0.3">
      <c r="A26" s="3" t="s">
        <v>34</v>
      </c>
      <c r="B26" s="58" t="s">
        <v>35</v>
      </c>
    </row>
    <row r="27" spans="1:2" x14ac:dyDescent="0.3">
      <c r="A27" s="3" t="s">
        <v>36</v>
      </c>
      <c r="B27" s="4" t="s">
        <v>37</v>
      </c>
    </row>
    <row r="28" spans="1:2" x14ac:dyDescent="0.3">
      <c r="A28" s="3" t="s">
        <v>38</v>
      </c>
      <c r="B28" s="4" t="s">
        <v>39</v>
      </c>
    </row>
    <row r="29" spans="1:2" x14ac:dyDescent="0.3">
      <c r="A29" s="3" t="s">
        <v>40</v>
      </c>
      <c r="B29" s="58" t="s">
        <v>41</v>
      </c>
    </row>
    <row r="30" spans="1:2" x14ac:dyDescent="0.3">
      <c r="A30" s="3"/>
      <c r="B30" s="4"/>
    </row>
    <row r="31" spans="1:2" ht="16.8" customHeight="1" x14ac:dyDescent="0.3">
      <c r="A31" s="3"/>
      <c r="B31" s="4"/>
    </row>
    <row r="32" spans="1:2" ht="0.6" customHeight="1" x14ac:dyDescent="0.3">
      <c r="A32" s="3"/>
      <c r="B32" s="4"/>
    </row>
    <row r="33" spans="1:2" ht="15" customHeight="1" x14ac:dyDescent="0.3">
      <c r="A33" s="3"/>
      <c r="B33" s="4"/>
    </row>
    <row r="34" spans="1:2" ht="18" customHeight="1" x14ac:dyDescent="0.3">
      <c r="A34" s="3"/>
      <c r="B34" s="4"/>
    </row>
    <row r="36" spans="1:2" x14ac:dyDescent="0.3">
      <c r="A36" s="57"/>
      <c r="B36" s="5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Normal="100" workbookViewId="0">
      <selection activeCell="A7" sqref="A7"/>
    </sheetView>
  </sheetViews>
  <sheetFormatPr defaultColWidth="8.6640625" defaultRowHeight="14.4" x14ac:dyDescent="0.3"/>
  <cols>
    <col min="1" max="1" width="18" customWidth="1"/>
    <col min="2" max="2" width="120" customWidth="1"/>
  </cols>
  <sheetData>
    <row r="1" spans="1:2" ht="17.399999999999999" x14ac:dyDescent="0.3">
      <c r="A1" s="1" t="s">
        <v>42</v>
      </c>
    </row>
    <row r="3" spans="1:2" x14ac:dyDescent="0.3">
      <c r="A3" s="3" t="s">
        <v>43</v>
      </c>
    </row>
    <row r="4" spans="1:2" ht="31.5" customHeight="1" x14ac:dyDescent="0.3">
      <c r="A4" s="60" t="s">
        <v>44</v>
      </c>
      <c r="B4" s="60"/>
    </row>
    <row r="6" spans="1:2" x14ac:dyDescent="0.3">
      <c r="A6" s="7" t="s">
        <v>45</v>
      </c>
      <c r="B6" s="7" t="s">
        <v>46</v>
      </c>
    </row>
    <row r="7" spans="1:2" ht="30" customHeight="1" x14ac:dyDescent="0.3">
      <c r="A7" s="3" t="s">
        <v>47</v>
      </c>
      <c r="B7" s="4" t="s">
        <v>48</v>
      </c>
    </row>
    <row r="8" spans="1:2" ht="30" customHeight="1" x14ac:dyDescent="0.3">
      <c r="A8" s="3" t="s">
        <v>49</v>
      </c>
      <c r="B8" s="4" t="s">
        <v>50</v>
      </c>
    </row>
    <row r="9" spans="1:2" ht="30" customHeight="1" x14ac:dyDescent="0.3">
      <c r="A9" s="3" t="s">
        <v>51</v>
      </c>
      <c r="B9" s="4" t="s">
        <v>52</v>
      </c>
    </row>
    <row r="10" spans="1:2" ht="30" customHeight="1" x14ac:dyDescent="0.3">
      <c r="A10" s="3" t="s">
        <v>53</v>
      </c>
      <c r="B10" s="4" t="s">
        <v>54</v>
      </c>
    </row>
    <row r="11" spans="1:2" ht="30" customHeight="1" x14ac:dyDescent="0.3">
      <c r="A11" s="3" t="s">
        <v>55</v>
      </c>
      <c r="B11" s="4" t="s">
        <v>56</v>
      </c>
    </row>
  </sheetData>
  <mergeCells count="1">
    <mergeCell ref="A4:B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opLeftCell="A16" zoomScaleNormal="100" workbookViewId="0">
      <selection activeCell="G10" sqref="G10"/>
    </sheetView>
  </sheetViews>
  <sheetFormatPr defaultColWidth="8.6640625" defaultRowHeight="14.4" x14ac:dyDescent="0.3"/>
  <cols>
    <col min="1" max="1" width="34" customWidth="1"/>
    <col min="2" max="6" width="14" customWidth="1"/>
    <col min="7" max="7" width="80" customWidth="1"/>
  </cols>
  <sheetData>
    <row r="1" spans="1:7" ht="17.399999999999999" x14ac:dyDescent="0.3">
      <c r="A1" s="1" t="s">
        <v>57</v>
      </c>
    </row>
    <row r="3" spans="1:7" x14ac:dyDescent="0.3">
      <c r="A3" s="7" t="s">
        <v>58</v>
      </c>
      <c r="B3" s="7" t="s">
        <v>47</v>
      </c>
      <c r="C3" s="7" t="s">
        <v>49</v>
      </c>
      <c r="D3" s="7" t="s">
        <v>51</v>
      </c>
      <c r="E3" s="7" t="s">
        <v>53</v>
      </c>
      <c r="F3" s="7" t="s">
        <v>55</v>
      </c>
      <c r="G3" s="7" t="s">
        <v>59</v>
      </c>
    </row>
    <row r="4" spans="1:7" x14ac:dyDescent="0.3">
      <c r="A4" s="3" t="s">
        <v>60</v>
      </c>
      <c r="B4" s="8">
        <v>88511.5</v>
      </c>
      <c r="C4" s="8">
        <v>20943.47</v>
      </c>
      <c r="D4" s="8">
        <v>40655.699999999997</v>
      </c>
      <c r="E4" s="8">
        <v>13722.3</v>
      </c>
      <c r="F4" s="8">
        <v>14804</v>
      </c>
      <c r="G4" s="9" t="s">
        <v>61</v>
      </c>
    </row>
    <row r="5" spans="1:7" x14ac:dyDescent="0.3">
      <c r="A5" s="3" t="s">
        <v>62</v>
      </c>
      <c r="B5" s="8">
        <v>17020.2</v>
      </c>
      <c r="C5" s="10">
        <v>4638</v>
      </c>
      <c r="D5" s="8">
        <v>6374.3</v>
      </c>
      <c r="E5" s="8">
        <v>2374</v>
      </c>
      <c r="F5" s="8">
        <v>3083</v>
      </c>
      <c r="G5" s="9" t="s">
        <v>63</v>
      </c>
    </row>
    <row r="6" spans="1:7" x14ac:dyDescent="0.3">
      <c r="A6" s="3" t="s">
        <v>64</v>
      </c>
      <c r="B6" s="8">
        <v>8165.64</v>
      </c>
      <c r="C6" s="8">
        <v>1748.66</v>
      </c>
      <c r="D6" s="8">
        <v>4728.2</v>
      </c>
      <c r="E6" s="8">
        <v>992.49</v>
      </c>
      <c r="F6" s="8">
        <v>1157.5</v>
      </c>
      <c r="G6" s="9" t="s">
        <v>65</v>
      </c>
    </row>
    <row r="7" spans="1:7" x14ac:dyDescent="0.3">
      <c r="A7" s="3" t="s">
        <v>66</v>
      </c>
      <c r="B7" s="10">
        <f>2399.42*B9</f>
        <v>70614.930600000007</v>
      </c>
      <c r="C7" s="10">
        <f>6239.23*C9</f>
        <v>22511.765762999996</v>
      </c>
      <c r="D7" s="10">
        <f>205.9*D9</f>
        <v>52546.776697182264</v>
      </c>
      <c r="E7" s="10">
        <f>900.85*E9</f>
        <v>6960.6877800000002</v>
      </c>
      <c r="F7" s="8">
        <v>17979</v>
      </c>
      <c r="G7" s="9" t="s">
        <v>67</v>
      </c>
    </row>
    <row r="8" spans="1:7" x14ac:dyDescent="0.3">
      <c r="A8" s="3" t="s">
        <v>68</v>
      </c>
      <c r="B8" s="11">
        <v>10830.3</v>
      </c>
      <c r="C8" s="11">
        <v>21908.95</v>
      </c>
      <c r="D8" s="11">
        <v>384.05</v>
      </c>
      <c r="E8" s="11">
        <v>5030.3</v>
      </c>
      <c r="F8" s="11">
        <v>1690</v>
      </c>
      <c r="G8" s="9"/>
    </row>
    <row r="9" spans="1:7" x14ac:dyDescent="0.3">
      <c r="A9" s="3" t="s">
        <v>69</v>
      </c>
      <c r="B9" s="12">
        <v>29.43</v>
      </c>
      <c r="C9" s="11">
        <v>3.6080999999999999</v>
      </c>
      <c r="D9" s="12">
        <f>107326.6/420.55</f>
        <v>255.20532635834027</v>
      </c>
      <c r="E9" s="11">
        <v>7.7267999999999999</v>
      </c>
      <c r="F9" s="11">
        <v>18.757000000000001</v>
      </c>
      <c r="G9" s="9" t="s">
        <v>70</v>
      </c>
    </row>
    <row r="10" spans="1:7" x14ac:dyDescent="0.3">
      <c r="A10" s="3" t="s">
        <v>71</v>
      </c>
      <c r="B10" s="13">
        <f>B8*B9</f>
        <v>318735.72899999999</v>
      </c>
      <c r="C10" s="13">
        <f>C8*C9</f>
        <v>79049.682495000001</v>
      </c>
      <c r="D10" s="13">
        <f>D8*D9</f>
        <v>98011.605587920581</v>
      </c>
      <c r="E10" s="13">
        <f>E8*E9</f>
        <v>38868.122040000002</v>
      </c>
      <c r="F10" s="13">
        <f>F8*F9</f>
        <v>31699.33</v>
      </c>
      <c r="G10" s="9" t="s">
        <v>72</v>
      </c>
    </row>
    <row r="11" spans="1:7" x14ac:dyDescent="0.3">
      <c r="A11" s="3" t="s">
        <v>73</v>
      </c>
      <c r="B11" s="8">
        <v>23755.1</v>
      </c>
      <c r="C11" s="10">
        <v>1868</v>
      </c>
      <c r="D11" s="8">
        <v>866</v>
      </c>
      <c r="E11" s="10">
        <f>0.87*E7</f>
        <v>6055.7983685999998</v>
      </c>
      <c r="F11" s="8">
        <v>7428</v>
      </c>
      <c r="G11" s="9" t="s">
        <v>74</v>
      </c>
    </row>
    <row r="13" spans="1:7" x14ac:dyDescent="0.3">
      <c r="A13" s="3" t="s">
        <v>75</v>
      </c>
    </row>
    <row r="14" spans="1:7" x14ac:dyDescent="0.3">
      <c r="A14" s="3" t="s">
        <v>76</v>
      </c>
      <c r="B14" s="14">
        <f>B4/'Hist - UltraTech'!C4-1</f>
        <v>0.16531345492271088</v>
      </c>
      <c r="C14" s="14">
        <f>C4/'Hist - Shree'!C4-1</f>
        <v>8.6120139004492557E-2</v>
      </c>
      <c r="D14" s="14">
        <f>D4/'Hist - Ambuja'!C4-1</f>
        <v>0.15053316127279515</v>
      </c>
      <c r="E14" s="14">
        <f>E4/'Hist - JK Cement'!C4-1</f>
        <v>0.15515840779853773</v>
      </c>
      <c r="F14" s="14">
        <f>F4/'Hist - Dalmia'!C4-1</f>
        <v>5.8941344778254745E-2</v>
      </c>
    </row>
    <row r="15" spans="1:7" x14ac:dyDescent="0.3">
      <c r="A15" s="3" t="s">
        <v>77</v>
      </c>
      <c r="B15" s="14">
        <f>(B4/'Hist - UltraTech'!B4)^(1/2)-1</f>
        <v>0.11725402042202138</v>
      </c>
      <c r="C15" s="14">
        <f>(C4/'Hist - Shree'!B4)^(1/2)-1</f>
        <v>1.3138433235987623E-2</v>
      </c>
      <c r="D15" s="14">
        <f>(D4/'Hist - Ambuja'!B4)^(1/2)-1</f>
        <v>0.10727649263256933</v>
      </c>
      <c r="E15" s="14">
        <f>(E4/'Hist - JK Cement'!B4)^(1/2)-1</f>
        <v>8.9706868469695999E-2</v>
      </c>
      <c r="F15" s="14">
        <f>(F4/'Hist - Dalmia'!B4)^(1/2)-1</f>
        <v>3.8385249060202131E-3</v>
      </c>
    </row>
    <row r="16" spans="1:7" x14ac:dyDescent="0.3">
      <c r="A16" s="3" t="s">
        <v>78</v>
      </c>
      <c r="B16" s="15">
        <f>B7/B9</f>
        <v>2399.42</v>
      </c>
      <c r="C16" s="15">
        <f>C7/C9</f>
        <v>6239.2299999999987</v>
      </c>
      <c r="D16" s="15">
        <f>D7/D9</f>
        <v>205.9</v>
      </c>
      <c r="E16" s="15">
        <f>E7/E9</f>
        <v>900.85</v>
      </c>
      <c r="F16" s="15">
        <f>F7/F9</f>
        <v>958.52215173002071</v>
      </c>
    </row>
    <row r="17" spans="1:6" x14ac:dyDescent="0.3">
      <c r="A17" s="3" t="s">
        <v>79</v>
      </c>
      <c r="B17" s="16">
        <f>B11/B7</f>
        <v>0.33640336113280833</v>
      </c>
      <c r="C17" s="16">
        <f>C11/C7</f>
        <v>8.2978830699732012E-2</v>
      </c>
      <c r="D17" s="16">
        <f>D11/D7</f>
        <v>1.6480554173486303E-2</v>
      </c>
      <c r="E17" s="16">
        <f>E11/E7</f>
        <v>0.87</v>
      </c>
      <c r="F17" s="16">
        <f>F11/F7</f>
        <v>0.41314867345236111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Normal="100" workbookViewId="0">
      <selection activeCell="E3" sqref="E3"/>
    </sheetView>
  </sheetViews>
  <sheetFormatPr defaultColWidth="8.6640625" defaultRowHeight="14.4" x14ac:dyDescent="0.3"/>
  <cols>
    <col min="1" max="1" width="32" customWidth="1"/>
    <col min="2" max="4" width="13" customWidth="1"/>
    <col min="5" max="5" width="70" customWidth="1"/>
  </cols>
  <sheetData>
    <row r="1" spans="1:5" ht="17.399999999999999" x14ac:dyDescent="0.3">
      <c r="A1" s="1" t="s">
        <v>80</v>
      </c>
    </row>
    <row r="2" spans="1:5" x14ac:dyDescent="0.3">
      <c r="A2" s="2" t="s">
        <v>81</v>
      </c>
    </row>
    <row r="3" spans="1:5" x14ac:dyDescent="0.3">
      <c r="A3" s="7" t="s">
        <v>58</v>
      </c>
      <c r="B3" s="7" t="s">
        <v>82</v>
      </c>
      <c r="C3" s="7" t="s">
        <v>83</v>
      </c>
      <c r="D3" s="7" t="s">
        <v>84</v>
      </c>
      <c r="E3" s="46"/>
    </row>
    <row r="4" spans="1:5" x14ac:dyDescent="0.3">
      <c r="A4" s="3" t="s">
        <v>60</v>
      </c>
      <c r="B4" s="8">
        <v>70908.100000000006</v>
      </c>
      <c r="C4" s="8">
        <v>75955.100000000006</v>
      </c>
      <c r="D4" s="17">
        <f>'Master Data (FY26)'!B4</f>
        <v>88511.5</v>
      </c>
      <c r="E4" s="2"/>
    </row>
    <row r="5" spans="1:5" x14ac:dyDescent="0.3">
      <c r="A5" s="3" t="s">
        <v>86</v>
      </c>
      <c r="B5" s="9" t="s">
        <v>87</v>
      </c>
      <c r="C5" s="18">
        <f>IFERROR(C4/B4-1,"N/A")</f>
        <v>7.1176635673498412E-2</v>
      </c>
      <c r="D5" s="18">
        <f>IFERROR(D4/C4-1,"N/A")</f>
        <v>0.16531345492271088</v>
      </c>
    </row>
    <row r="6" spans="1:5" x14ac:dyDescent="0.3">
      <c r="A6" s="3" t="s">
        <v>62</v>
      </c>
      <c r="B6" s="8">
        <v>12968.6</v>
      </c>
      <c r="C6" s="8">
        <v>12558</v>
      </c>
      <c r="D6" s="17">
        <f>'Master Data (FY26)'!B5</f>
        <v>17020.2</v>
      </c>
      <c r="E6" s="2"/>
    </row>
    <row r="7" spans="1:5" x14ac:dyDescent="0.3">
      <c r="A7" s="3" t="s">
        <v>88</v>
      </c>
      <c r="B7" s="18">
        <f>IFERROR(B6/B4,"N/A")</f>
        <v>0.18289306863390783</v>
      </c>
      <c r="C7" s="18">
        <f>IFERROR(C6/C4,"N/A")</f>
        <v>0.16533451999931537</v>
      </c>
      <c r="D7" s="18">
        <f>IFERROR(D6/D4,"N/A")</f>
        <v>0.19229365675646667</v>
      </c>
    </row>
    <row r="8" spans="1:5" x14ac:dyDescent="0.3">
      <c r="A8" s="3" t="s">
        <v>89</v>
      </c>
      <c r="B8" s="8">
        <v>7005</v>
      </c>
      <c r="C8" s="8">
        <v>6039.1</v>
      </c>
      <c r="D8" s="17">
        <f>'Master Data (FY26)'!B6</f>
        <v>8165.64</v>
      </c>
      <c r="E8" s="2"/>
    </row>
    <row r="9" spans="1:5" x14ac:dyDescent="0.3">
      <c r="A9" s="3" t="s">
        <v>90</v>
      </c>
      <c r="B9" s="9" t="s">
        <v>87</v>
      </c>
      <c r="C9" s="18">
        <f>IFERROR(C8/B8-1,"N/A")</f>
        <v>-0.13788722341184867</v>
      </c>
      <c r="D9" s="18">
        <f>IFERROR(D8/C8-1,"N/A")</f>
        <v>0.35212862843801229</v>
      </c>
    </row>
    <row r="10" spans="1:5" x14ac:dyDescent="0.3">
      <c r="A10" s="3" t="s">
        <v>91</v>
      </c>
      <c r="B10" s="18">
        <f>IFERROR(B8/B4,"N/A")</f>
        <v>9.8789842063177535E-2</v>
      </c>
      <c r="C10" s="18">
        <f>IFERROR(C8/C4,"N/A")</f>
        <v>7.950881507627533E-2</v>
      </c>
      <c r="D10" s="18">
        <f>IFERROR(D8/D4,"N/A")</f>
        <v>9.2255130689232481E-2</v>
      </c>
    </row>
    <row r="12" spans="1:5" x14ac:dyDescent="0.3">
      <c r="A12" s="3" t="s">
        <v>77</v>
      </c>
      <c r="D12" s="18">
        <f>IFERROR((D4/B4)^(1/2)-1,"N/A")</f>
        <v>0.11725402042202138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Normal="100" workbookViewId="0">
      <selection activeCell="E9" sqref="E9"/>
    </sheetView>
  </sheetViews>
  <sheetFormatPr defaultColWidth="8.6640625" defaultRowHeight="14.4" x14ac:dyDescent="0.3"/>
  <cols>
    <col min="1" max="1" width="32" customWidth="1"/>
    <col min="2" max="4" width="13" customWidth="1"/>
    <col min="5" max="5" width="70" customWidth="1"/>
  </cols>
  <sheetData>
    <row r="1" spans="1:5" ht="17.399999999999999" x14ac:dyDescent="0.3">
      <c r="A1" s="1" t="s">
        <v>92</v>
      </c>
    </row>
    <row r="2" spans="1:5" x14ac:dyDescent="0.3">
      <c r="A2" s="2" t="s">
        <v>81</v>
      </c>
    </row>
    <row r="3" spans="1:5" x14ac:dyDescent="0.3">
      <c r="A3" s="7" t="s">
        <v>58</v>
      </c>
      <c r="B3" s="7" t="s">
        <v>82</v>
      </c>
      <c r="C3" s="7" t="s">
        <v>83</v>
      </c>
      <c r="D3" s="7" t="s">
        <v>84</v>
      </c>
      <c r="E3" s="47"/>
    </row>
    <row r="4" spans="1:5" x14ac:dyDescent="0.3">
      <c r="A4" s="3" t="s">
        <v>60</v>
      </c>
      <c r="B4" s="8">
        <v>20403.8</v>
      </c>
      <c r="C4" s="8">
        <v>19282.830000000002</v>
      </c>
      <c r="D4" s="17">
        <f>'Master Data (FY26)'!C4</f>
        <v>20943.47</v>
      </c>
      <c r="E4" s="2"/>
    </row>
    <row r="5" spans="1:5" x14ac:dyDescent="0.3">
      <c r="A5" s="3" t="s">
        <v>86</v>
      </c>
      <c r="B5" s="9" t="s">
        <v>87</v>
      </c>
      <c r="C5" s="18">
        <f>IFERROR(C4/B4-1,"N/A")</f>
        <v>-5.493927601721238E-2</v>
      </c>
      <c r="D5" s="18">
        <f>IFERROR(D4/C4-1,"N/A")</f>
        <v>8.6120139004492557E-2</v>
      </c>
    </row>
    <row r="6" spans="1:5" x14ac:dyDescent="0.3">
      <c r="A6" s="3" t="s">
        <v>62</v>
      </c>
      <c r="B6" s="10">
        <v>4517</v>
      </c>
      <c r="C6" s="10">
        <v>3934</v>
      </c>
      <c r="D6" s="17">
        <f>'Master Data (FY26)'!C5</f>
        <v>4638</v>
      </c>
      <c r="E6" s="2"/>
    </row>
    <row r="7" spans="1:5" x14ac:dyDescent="0.3">
      <c r="A7" s="3" t="s">
        <v>88</v>
      </c>
      <c r="B7" s="18">
        <f>IFERROR(B6/B4,"N/A")</f>
        <v>0.22138033111479236</v>
      </c>
      <c r="C7" s="18">
        <f>IFERROR(C6/C4,"N/A")</f>
        <v>0.20401569686607202</v>
      </c>
      <c r="D7" s="18">
        <f>IFERROR(D6/D4,"N/A")</f>
        <v>0.22145327397990877</v>
      </c>
    </row>
    <row r="8" spans="1:5" x14ac:dyDescent="0.3">
      <c r="A8" s="3" t="s">
        <v>89</v>
      </c>
      <c r="B8" s="8">
        <v>2396.16</v>
      </c>
      <c r="C8" s="8">
        <v>1123.8</v>
      </c>
      <c r="D8" s="17">
        <f>'Master Data (FY26)'!C6</f>
        <v>1748.66</v>
      </c>
      <c r="E8" s="2"/>
    </row>
    <row r="9" spans="1:5" x14ac:dyDescent="0.3">
      <c r="A9" s="3" t="s">
        <v>90</v>
      </c>
      <c r="B9" s="9" t="s">
        <v>87</v>
      </c>
      <c r="C9" s="18">
        <f>IFERROR(C8/B8-1,"N/A")</f>
        <v>-0.53099959935897434</v>
      </c>
      <c r="D9" s="18">
        <f>IFERROR(D8/C8-1,"N/A")</f>
        <v>0.55602420359494586</v>
      </c>
    </row>
    <row r="10" spans="1:5" x14ac:dyDescent="0.3">
      <c r="A10" s="3" t="s">
        <v>91</v>
      </c>
      <c r="B10" s="18">
        <f>IFERROR(B8/B4,"N/A")</f>
        <v>0.11743694801948656</v>
      </c>
      <c r="C10" s="18">
        <f>IFERROR(C8/C4,"N/A")</f>
        <v>5.8279827183043142E-2</v>
      </c>
      <c r="D10" s="18">
        <f>IFERROR(D8/D4,"N/A")</f>
        <v>8.3494282466086089E-2</v>
      </c>
    </row>
    <row r="12" spans="1:5" x14ac:dyDescent="0.3">
      <c r="A12" s="3" t="s">
        <v>77</v>
      </c>
      <c r="D12" s="18">
        <f>IFERROR((D4/B4)^(1/2)-1,"N/A")</f>
        <v>1.3138433235987623E-2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Normal="100" workbookViewId="0">
      <selection activeCell="E11" sqref="E11"/>
    </sheetView>
  </sheetViews>
  <sheetFormatPr defaultColWidth="8.6640625" defaultRowHeight="14.4" x14ac:dyDescent="0.3"/>
  <cols>
    <col min="1" max="1" width="32" customWidth="1"/>
    <col min="2" max="4" width="13" customWidth="1"/>
    <col min="5" max="5" width="70" customWidth="1"/>
  </cols>
  <sheetData>
    <row r="1" spans="1:5" ht="17.399999999999999" x14ac:dyDescent="0.3">
      <c r="A1" s="1" t="s">
        <v>93</v>
      </c>
    </row>
    <row r="2" spans="1:5" x14ac:dyDescent="0.3">
      <c r="A2" s="2" t="s">
        <v>81</v>
      </c>
    </row>
    <row r="3" spans="1:5" x14ac:dyDescent="0.3">
      <c r="A3" s="7" t="s">
        <v>58</v>
      </c>
      <c r="B3" s="7" t="s">
        <v>82</v>
      </c>
      <c r="C3" s="7" t="s">
        <v>83</v>
      </c>
      <c r="D3" s="7" t="s">
        <v>84</v>
      </c>
      <c r="E3" s="47" t="s">
        <v>85</v>
      </c>
    </row>
    <row r="4" spans="1:5" x14ac:dyDescent="0.3">
      <c r="A4" s="3" t="s">
        <v>60</v>
      </c>
      <c r="B4" s="8">
        <v>33159.599999999999</v>
      </c>
      <c r="C4" s="8">
        <v>35336.400000000001</v>
      </c>
      <c r="D4" s="17">
        <f>'Master Data (FY26)'!D4</f>
        <v>40655.699999999997</v>
      </c>
      <c r="E4" s="2"/>
    </row>
    <row r="5" spans="1:5" x14ac:dyDescent="0.3">
      <c r="A5" s="3" t="s">
        <v>86</v>
      </c>
      <c r="B5" s="9" t="s">
        <v>87</v>
      </c>
      <c r="C5" s="18">
        <f>IFERROR(C4/B4-1,"N/A")</f>
        <v>6.5646147721926784E-2</v>
      </c>
      <c r="D5" s="18">
        <f>IFERROR(D4/C4-1,"N/A")</f>
        <v>0.15053316127279515</v>
      </c>
    </row>
    <row r="6" spans="1:5" x14ac:dyDescent="0.3">
      <c r="A6" s="3" t="s">
        <v>62</v>
      </c>
      <c r="B6" s="8">
        <v>6251.9</v>
      </c>
      <c r="C6" s="8">
        <v>5744.4</v>
      </c>
      <c r="D6" s="17">
        <f>'Master Data (FY26)'!D5</f>
        <v>6374.3</v>
      </c>
      <c r="E6" s="2"/>
    </row>
    <row r="7" spans="1:5" x14ac:dyDescent="0.3">
      <c r="A7" s="3" t="s">
        <v>88</v>
      </c>
      <c r="B7" s="18">
        <f>IFERROR(B6/B4,"N/A")</f>
        <v>0.18853966875354347</v>
      </c>
      <c r="C7" s="18">
        <f>IFERROR(C6/C4,"N/A")</f>
        <v>0.16256324922742552</v>
      </c>
      <c r="D7" s="18">
        <f>IFERROR(D6/D4,"N/A")</f>
        <v>0.15678736314957067</v>
      </c>
    </row>
    <row r="8" spans="1:5" x14ac:dyDescent="0.3">
      <c r="A8" s="3" t="s">
        <v>89</v>
      </c>
      <c r="B8" s="8">
        <v>3573.4</v>
      </c>
      <c r="C8" s="8">
        <v>4303.1000000000004</v>
      </c>
      <c r="D8" s="17">
        <f>'Master Data (FY26)'!D6</f>
        <v>4728.2</v>
      </c>
      <c r="E8" s="2"/>
    </row>
    <row r="9" spans="1:5" x14ac:dyDescent="0.3">
      <c r="A9" s="3" t="s">
        <v>90</v>
      </c>
      <c r="B9" s="9" t="s">
        <v>87</v>
      </c>
      <c r="C9" s="18">
        <f>IFERROR(C8/B8-1,"N/A")</f>
        <v>0.20420327978955632</v>
      </c>
      <c r="D9" s="18">
        <f>IFERROR(D8/C8-1,"N/A")</f>
        <v>9.8789244962933509E-2</v>
      </c>
    </row>
    <row r="10" spans="1:5" x14ac:dyDescent="0.3">
      <c r="A10" s="3" t="s">
        <v>91</v>
      </c>
      <c r="B10" s="18">
        <f>IFERROR(B8/B4,"N/A")</f>
        <v>0.10776366421790372</v>
      </c>
      <c r="C10" s="18">
        <f>IFERROR(C8/C4,"N/A")</f>
        <v>0.1217752798813688</v>
      </c>
      <c r="D10" s="18">
        <f>IFERROR(D8/D4,"N/A")</f>
        <v>0.11629857559948543</v>
      </c>
    </row>
    <row r="12" spans="1:5" x14ac:dyDescent="0.3">
      <c r="A12" s="3" t="s">
        <v>77</v>
      </c>
      <c r="D12" s="18">
        <f>IFERROR((D4/B4)^(1/2)-1,"N/A")</f>
        <v>0.10727649263256933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zoomScaleNormal="100" workbookViewId="0">
      <selection activeCell="E22" sqref="E22"/>
    </sheetView>
  </sheetViews>
  <sheetFormatPr defaultColWidth="8.6640625" defaultRowHeight="14.4" x14ac:dyDescent="0.3"/>
  <cols>
    <col min="1" max="1" width="32" customWidth="1"/>
    <col min="2" max="4" width="13" customWidth="1"/>
    <col min="5" max="5" width="70" customWidth="1"/>
  </cols>
  <sheetData>
    <row r="1" spans="1:5" ht="17.399999999999999" x14ac:dyDescent="0.3">
      <c r="A1" s="1" t="s">
        <v>94</v>
      </c>
    </row>
    <row r="2" spans="1:5" x14ac:dyDescent="0.3">
      <c r="A2" s="2" t="s">
        <v>81</v>
      </c>
    </row>
    <row r="3" spans="1:5" x14ac:dyDescent="0.3">
      <c r="A3" s="7" t="s">
        <v>58</v>
      </c>
      <c r="B3" s="7" t="s">
        <v>82</v>
      </c>
      <c r="C3" s="7" t="s">
        <v>83</v>
      </c>
      <c r="D3" s="7" t="s">
        <v>84</v>
      </c>
      <c r="E3" s="47" t="s">
        <v>85</v>
      </c>
    </row>
    <row r="4" spans="1:5" x14ac:dyDescent="0.3">
      <c r="A4" s="3" t="s">
        <v>60</v>
      </c>
      <c r="B4" s="8">
        <v>11556</v>
      </c>
      <c r="C4" s="8">
        <v>11879.15</v>
      </c>
      <c r="D4" s="17">
        <f>'Master Data (FY26)'!E4</f>
        <v>13722.3</v>
      </c>
      <c r="E4" s="2"/>
    </row>
    <row r="5" spans="1:5" x14ac:dyDescent="0.3">
      <c r="A5" s="3" t="s">
        <v>86</v>
      </c>
      <c r="B5" s="9" t="s">
        <v>87</v>
      </c>
      <c r="C5" s="18">
        <f>IFERROR(C4/B4-1,"N/A")</f>
        <v>2.7963828314295558E-2</v>
      </c>
      <c r="D5" s="18">
        <f>IFERROR(D4/C4-1,"N/A")</f>
        <v>0.15515840779853773</v>
      </c>
    </row>
    <row r="6" spans="1:5" x14ac:dyDescent="0.3">
      <c r="A6" s="3" t="s">
        <v>62</v>
      </c>
      <c r="B6" s="8">
        <v>2006</v>
      </c>
      <c r="C6" s="19">
        <f>D6/1.17</f>
        <v>2029.0598290598291</v>
      </c>
      <c r="D6" s="17">
        <f>'Master Data (FY26)'!E5</f>
        <v>2374</v>
      </c>
      <c r="E6" s="2"/>
    </row>
    <row r="7" spans="1:5" x14ac:dyDescent="0.3">
      <c r="A7" s="3" t="s">
        <v>88</v>
      </c>
      <c r="B7" s="18">
        <f>IFERROR(B6/B4,"N/A")</f>
        <v>0.17358947732779509</v>
      </c>
      <c r="C7" s="18">
        <f>IFERROR(C6/C4,"N/A")</f>
        <v>0.1708085030544971</v>
      </c>
      <c r="D7" s="18">
        <f>IFERROR(D6/D4,"N/A")</f>
        <v>0.17300306799880488</v>
      </c>
    </row>
    <row r="8" spans="1:5" x14ac:dyDescent="0.3">
      <c r="A8" s="3" t="s">
        <v>89</v>
      </c>
      <c r="B8" s="8">
        <v>790.83</v>
      </c>
      <c r="C8" s="8">
        <v>861.12</v>
      </c>
      <c r="D8" s="17">
        <f>'Master Data (FY26)'!E6</f>
        <v>992.49</v>
      </c>
      <c r="E8" s="2"/>
    </row>
    <row r="9" spans="1:5" x14ac:dyDescent="0.3">
      <c r="A9" s="3" t="s">
        <v>90</v>
      </c>
      <c r="B9" s="9" t="s">
        <v>87</v>
      </c>
      <c r="C9" s="18">
        <f>IFERROR(C8/B8-1,"N/A")</f>
        <v>8.8881301923295686E-2</v>
      </c>
      <c r="D9" s="18">
        <f>IFERROR(D8/C8-1,"N/A")</f>
        <v>0.15255713489409151</v>
      </c>
    </row>
    <row r="10" spans="1:5" x14ac:dyDescent="0.3">
      <c r="A10" s="3" t="s">
        <v>91</v>
      </c>
      <c r="B10" s="18">
        <f>IFERROR(B8/B4,"N/A")</f>
        <v>6.8434579439252338E-2</v>
      </c>
      <c r="C10" s="18">
        <f>IFERROR(C8/C4,"N/A")</f>
        <v>7.249003506143116E-2</v>
      </c>
      <c r="D10" s="18">
        <f>IFERROR(D8/D4,"N/A")</f>
        <v>7.2326796528278794E-2</v>
      </c>
    </row>
    <row r="12" spans="1:5" x14ac:dyDescent="0.3">
      <c r="A12" s="3" t="s">
        <v>77</v>
      </c>
      <c r="D12" s="18">
        <f>IFERROR((D4/B4)^(1/2)-1,"N/A")</f>
        <v>8.9706868469695999E-2</v>
      </c>
    </row>
    <row r="14" spans="1:5" x14ac:dyDescent="0.3">
      <c r="A14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Normal="100" workbookViewId="0">
      <selection activeCell="A2" sqref="A2"/>
    </sheetView>
  </sheetViews>
  <sheetFormatPr defaultColWidth="8.6640625" defaultRowHeight="14.4" x14ac:dyDescent="0.3"/>
  <cols>
    <col min="1" max="1" width="32" customWidth="1"/>
    <col min="2" max="4" width="13" customWidth="1"/>
    <col min="5" max="5" width="70" customWidth="1"/>
  </cols>
  <sheetData>
    <row r="1" spans="1:5" ht="17.399999999999999" x14ac:dyDescent="0.3">
      <c r="A1" s="1" t="s">
        <v>95</v>
      </c>
    </row>
    <row r="2" spans="1:5" x14ac:dyDescent="0.3">
      <c r="A2" s="48" t="s">
        <v>627</v>
      </c>
    </row>
    <row r="3" spans="1:5" x14ac:dyDescent="0.3">
      <c r="A3" s="7" t="s">
        <v>58</v>
      </c>
      <c r="B3" s="7" t="s">
        <v>82</v>
      </c>
      <c r="C3" s="7" t="s">
        <v>83</v>
      </c>
      <c r="D3" s="7" t="s">
        <v>84</v>
      </c>
      <c r="E3" s="47" t="s">
        <v>85</v>
      </c>
    </row>
    <row r="4" spans="1:5" x14ac:dyDescent="0.3">
      <c r="A4" s="3" t="s">
        <v>60</v>
      </c>
      <c r="B4" s="8">
        <v>14691</v>
      </c>
      <c r="C4" s="8">
        <v>13980</v>
      </c>
      <c r="D4" s="17">
        <f>'Master Data (FY26)'!F4</f>
        <v>14804</v>
      </c>
      <c r="E4" s="2"/>
    </row>
    <row r="5" spans="1:5" x14ac:dyDescent="0.3">
      <c r="A5" s="3" t="s">
        <v>86</v>
      </c>
      <c r="B5" s="9" t="s">
        <v>87</v>
      </c>
      <c r="C5" s="18">
        <f>IFERROR(C4/B4-1,"N/A")</f>
        <v>-4.8396977741474334E-2</v>
      </c>
      <c r="D5" s="18">
        <f>IFERROR(D4/C4-1,"N/A")</f>
        <v>5.8941344778254745E-2</v>
      </c>
    </row>
    <row r="6" spans="1:5" x14ac:dyDescent="0.3">
      <c r="A6" s="3" t="s">
        <v>62</v>
      </c>
      <c r="B6" s="8">
        <v>2639</v>
      </c>
      <c r="C6" s="8">
        <v>2407</v>
      </c>
      <c r="D6" s="17">
        <f>'Master Data (FY26)'!F5</f>
        <v>3083</v>
      </c>
      <c r="E6" s="2"/>
    </row>
    <row r="7" spans="1:5" x14ac:dyDescent="0.3">
      <c r="A7" s="3" t="s">
        <v>88</v>
      </c>
      <c r="B7" s="18">
        <f>IFERROR(B6/B4,"N/A")</f>
        <v>0.1796337893948676</v>
      </c>
      <c r="C7" s="18">
        <f>IFERROR(C6/C4,"N/A")</f>
        <v>0.17217453505007152</v>
      </c>
      <c r="D7" s="18">
        <f>IFERROR(D6/D4,"N/A")</f>
        <v>0.2082545258038368</v>
      </c>
    </row>
    <row r="8" spans="1:5" x14ac:dyDescent="0.3">
      <c r="A8" s="3" t="s">
        <v>89</v>
      </c>
      <c r="B8" s="8">
        <v>853</v>
      </c>
      <c r="C8" s="8">
        <v>699</v>
      </c>
      <c r="D8" s="17">
        <f>'Master Data (FY26)'!F6</f>
        <v>1157.5</v>
      </c>
      <c r="E8" s="2"/>
    </row>
    <row r="9" spans="1:5" x14ac:dyDescent="0.3">
      <c r="A9" s="3" t="s">
        <v>90</v>
      </c>
      <c r="B9" s="9" t="s">
        <v>87</v>
      </c>
      <c r="C9" s="18">
        <f>IFERROR(C8/B8-1,"N/A")</f>
        <v>-0.18053927315357565</v>
      </c>
      <c r="D9" s="18">
        <f>IFERROR(D8/C8-1,"N/A")</f>
        <v>0.65593705293276106</v>
      </c>
    </row>
    <row r="10" spans="1:5" x14ac:dyDescent="0.3">
      <c r="A10" s="3" t="s">
        <v>91</v>
      </c>
      <c r="B10" s="18">
        <f>IFERROR(B8/B4,"N/A")</f>
        <v>5.806275951262678E-2</v>
      </c>
      <c r="C10" s="18">
        <f>IFERROR(C8/C4,"N/A")</f>
        <v>0.05</v>
      </c>
      <c r="D10" s="18">
        <f>IFERROR(D8/D4,"N/A")</f>
        <v>7.818832747905971E-2</v>
      </c>
    </row>
    <row r="12" spans="1:5" x14ac:dyDescent="0.3">
      <c r="A12" s="3" t="s">
        <v>77</v>
      </c>
      <c r="D12" s="18">
        <f>IFERROR((D4/B4)^(1/2)-1,"N/A")</f>
        <v>3.8385249060202131E-3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zoomScaleNormal="100" workbookViewId="0">
      <selection activeCell="F27" sqref="F27"/>
    </sheetView>
  </sheetViews>
  <sheetFormatPr defaultColWidth="8.6640625" defaultRowHeight="14.4" x14ac:dyDescent="0.3"/>
  <cols>
    <col min="1" max="1" width="58" customWidth="1"/>
    <col min="2" max="3" width="11" customWidth="1"/>
    <col min="4" max="4" width="12" customWidth="1"/>
    <col min="5" max="5" width="13" customWidth="1"/>
    <col min="6" max="6" width="50" customWidth="1"/>
  </cols>
  <sheetData>
    <row r="1" spans="1:6" ht="17.399999999999999" x14ac:dyDescent="0.3">
      <c r="A1" s="1" t="s">
        <v>96</v>
      </c>
    </row>
    <row r="2" spans="1:6" x14ac:dyDescent="0.3">
      <c r="A2" s="2" t="s">
        <v>97</v>
      </c>
    </row>
    <row r="3" spans="1:6" x14ac:dyDescent="0.3">
      <c r="A3" s="7" t="s">
        <v>98</v>
      </c>
      <c r="B3" s="7" t="s">
        <v>99</v>
      </c>
      <c r="C3" s="7" t="s">
        <v>100</v>
      </c>
      <c r="D3" s="7" t="s">
        <v>101</v>
      </c>
      <c r="E3" s="7" t="s">
        <v>102</v>
      </c>
      <c r="F3" s="7" t="s">
        <v>103</v>
      </c>
    </row>
    <row r="4" spans="1:6" x14ac:dyDescent="0.3">
      <c r="A4" s="3" t="s">
        <v>104</v>
      </c>
      <c r="B4" s="20">
        <v>7.3999999999999996E-2</v>
      </c>
      <c r="C4" s="20">
        <v>7.3999999999999996E-2</v>
      </c>
      <c r="D4" s="18">
        <f t="shared" ref="D4:D28" si="0">AVERAGE(B4:C4)</f>
        <v>7.3999999999999996E-2</v>
      </c>
      <c r="E4" s="9" t="s">
        <v>105</v>
      </c>
      <c r="F4" s="9" t="s">
        <v>106</v>
      </c>
    </row>
    <row r="5" spans="1:6" x14ac:dyDescent="0.3">
      <c r="A5" s="3" t="s">
        <v>107</v>
      </c>
      <c r="B5" s="20">
        <v>6.8000000000000005E-2</v>
      </c>
      <c r="C5" s="20">
        <v>7.1999999999999995E-2</v>
      </c>
      <c r="D5" s="18">
        <f t="shared" si="0"/>
        <v>7.0000000000000007E-2</v>
      </c>
      <c r="E5" s="9" t="s">
        <v>105</v>
      </c>
      <c r="F5" s="9" t="s">
        <v>108</v>
      </c>
    </row>
    <row r="6" spans="1:6" x14ac:dyDescent="0.3">
      <c r="A6" s="3" t="s">
        <v>109</v>
      </c>
      <c r="B6" s="20">
        <v>6.6000000000000003E-2</v>
      </c>
      <c r="C6" s="20">
        <v>6.6000000000000003E-2</v>
      </c>
      <c r="D6" s="18">
        <f t="shared" si="0"/>
        <v>6.6000000000000003E-2</v>
      </c>
      <c r="E6" s="9" t="s">
        <v>105</v>
      </c>
      <c r="F6" s="9" t="s">
        <v>110</v>
      </c>
    </row>
    <row r="7" spans="1:6" x14ac:dyDescent="0.3">
      <c r="A7" s="3" t="s">
        <v>111</v>
      </c>
      <c r="B7" s="11">
        <v>12.22</v>
      </c>
      <c r="C7" s="11">
        <v>12.22</v>
      </c>
      <c r="D7" s="15">
        <f t="shared" si="0"/>
        <v>12.22</v>
      </c>
      <c r="E7" s="9" t="s">
        <v>112</v>
      </c>
      <c r="F7" s="9" t="s">
        <v>113</v>
      </c>
    </row>
    <row r="8" spans="1:6" x14ac:dyDescent="0.3">
      <c r="A8" s="3" t="s">
        <v>114</v>
      </c>
      <c r="B8" s="11">
        <v>17.149999999999999</v>
      </c>
      <c r="C8" s="11">
        <v>17.149999999999999</v>
      </c>
      <c r="D8" s="15">
        <f t="shared" si="0"/>
        <v>17.149999999999999</v>
      </c>
      <c r="E8" s="9" t="s">
        <v>112</v>
      </c>
      <c r="F8" s="9" t="s">
        <v>113</v>
      </c>
    </row>
    <row r="9" spans="1:6" x14ac:dyDescent="0.3">
      <c r="A9" s="3" t="s">
        <v>115</v>
      </c>
      <c r="B9" s="20">
        <v>3.1E-2</v>
      </c>
      <c r="C9" s="20">
        <v>3.1E-2</v>
      </c>
      <c r="D9" s="18">
        <f t="shared" si="0"/>
        <v>3.1E-2</v>
      </c>
      <c r="E9" s="9" t="s">
        <v>116</v>
      </c>
      <c r="F9" s="9" t="s">
        <v>117</v>
      </c>
    </row>
    <row r="10" spans="1:6" x14ac:dyDescent="0.3">
      <c r="A10" s="3" t="s">
        <v>118</v>
      </c>
      <c r="B10" s="20">
        <v>4.3999999999999997E-2</v>
      </c>
      <c r="C10" s="20">
        <v>4.3999999999999997E-2</v>
      </c>
      <c r="D10" s="18">
        <f t="shared" si="0"/>
        <v>4.3999999999999997E-2</v>
      </c>
      <c r="E10" s="9" t="s">
        <v>116</v>
      </c>
      <c r="F10" s="9" t="s">
        <v>113</v>
      </c>
    </row>
    <row r="11" spans="1:6" x14ac:dyDescent="0.3">
      <c r="A11" s="3" t="s">
        <v>119</v>
      </c>
      <c r="B11" s="20">
        <v>6.5000000000000002E-2</v>
      </c>
      <c r="C11" s="20">
        <v>7.4999999999999997E-2</v>
      </c>
      <c r="D11" s="18">
        <f t="shared" si="0"/>
        <v>7.0000000000000007E-2</v>
      </c>
      <c r="E11" s="9" t="s">
        <v>105</v>
      </c>
      <c r="F11" s="9" t="s">
        <v>120</v>
      </c>
    </row>
    <row r="12" spans="1:6" x14ac:dyDescent="0.3">
      <c r="A12" s="3" t="s">
        <v>121</v>
      </c>
      <c r="B12" s="20">
        <v>0.06</v>
      </c>
      <c r="C12" s="20">
        <v>7.0000000000000007E-2</v>
      </c>
      <c r="D12" s="18">
        <f t="shared" si="0"/>
        <v>6.5000000000000002E-2</v>
      </c>
      <c r="E12" s="9" t="s">
        <v>105</v>
      </c>
      <c r="F12" s="9" t="s">
        <v>122</v>
      </c>
    </row>
    <row r="13" spans="1:6" x14ac:dyDescent="0.3">
      <c r="A13" s="3" t="s">
        <v>123</v>
      </c>
      <c r="B13" s="8">
        <v>654</v>
      </c>
      <c r="C13" s="8">
        <v>654</v>
      </c>
      <c r="D13" s="13">
        <f t="shared" si="0"/>
        <v>654</v>
      </c>
      <c r="E13" s="9" t="s">
        <v>124</v>
      </c>
      <c r="F13" s="9" t="s">
        <v>125</v>
      </c>
    </row>
    <row r="14" spans="1:6" x14ac:dyDescent="0.3">
      <c r="A14" s="3" t="s">
        <v>126</v>
      </c>
      <c r="B14" s="8">
        <v>702</v>
      </c>
      <c r="C14" s="8">
        <v>702</v>
      </c>
      <c r="D14" s="13">
        <f t="shared" si="0"/>
        <v>702</v>
      </c>
      <c r="E14" s="9" t="s">
        <v>124</v>
      </c>
      <c r="F14" s="9" t="s">
        <v>125</v>
      </c>
    </row>
    <row r="15" spans="1:6" x14ac:dyDescent="0.3">
      <c r="A15" s="3" t="s">
        <v>127</v>
      </c>
      <c r="B15" s="8">
        <v>867</v>
      </c>
      <c r="C15" s="8">
        <v>867</v>
      </c>
      <c r="D15" s="13">
        <f t="shared" si="0"/>
        <v>867</v>
      </c>
      <c r="E15" s="9" t="s">
        <v>124</v>
      </c>
      <c r="F15" s="9" t="s">
        <v>125</v>
      </c>
    </row>
    <row r="16" spans="1:6" x14ac:dyDescent="0.3">
      <c r="A16" s="3" t="s">
        <v>128</v>
      </c>
      <c r="B16" s="20">
        <v>0.7</v>
      </c>
      <c r="C16" s="20">
        <v>0.7</v>
      </c>
      <c r="D16" s="18">
        <f t="shared" si="0"/>
        <v>0.7</v>
      </c>
      <c r="E16" s="9" t="s">
        <v>105</v>
      </c>
      <c r="F16" s="9" t="s">
        <v>129</v>
      </c>
    </row>
    <row r="17" spans="1:6" x14ac:dyDescent="0.3">
      <c r="A17" s="3" t="s">
        <v>130</v>
      </c>
      <c r="B17" s="20">
        <v>0.18</v>
      </c>
      <c r="C17" s="20">
        <v>0.2</v>
      </c>
      <c r="D17" s="18">
        <f t="shared" si="0"/>
        <v>0.19</v>
      </c>
      <c r="E17" s="9" t="s">
        <v>105</v>
      </c>
      <c r="F17" s="9" t="s">
        <v>131</v>
      </c>
    </row>
    <row r="18" spans="1:6" x14ac:dyDescent="0.3">
      <c r="A18" s="3" t="s">
        <v>132</v>
      </c>
      <c r="B18" s="20">
        <v>0.16</v>
      </c>
      <c r="C18" s="20">
        <v>0.18</v>
      </c>
      <c r="D18" s="18">
        <f t="shared" si="0"/>
        <v>0.16999999999999998</v>
      </c>
      <c r="E18" s="9" t="s">
        <v>105</v>
      </c>
      <c r="F18" s="9" t="s">
        <v>131</v>
      </c>
    </row>
    <row r="19" spans="1:6" x14ac:dyDescent="0.3">
      <c r="A19" s="3" t="s">
        <v>133</v>
      </c>
      <c r="B19" s="8">
        <v>950</v>
      </c>
      <c r="C19" s="8">
        <v>980</v>
      </c>
      <c r="D19" s="13">
        <f t="shared" si="0"/>
        <v>965</v>
      </c>
      <c r="E19" s="9" t="s">
        <v>134</v>
      </c>
      <c r="F19" s="9" t="s">
        <v>135</v>
      </c>
    </row>
    <row r="20" spans="1:6" x14ac:dyDescent="0.3">
      <c r="A20" s="3" t="s">
        <v>136</v>
      </c>
      <c r="B20" s="8">
        <v>820</v>
      </c>
      <c r="C20" s="8">
        <v>870</v>
      </c>
      <c r="D20" s="13">
        <f t="shared" si="0"/>
        <v>845</v>
      </c>
      <c r="E20" s="9" t="s">
        <v>134</v>
      </c>
      <c r="F20" s="9" t="s">
        <v>135</v>
      </c>
    </row>
    <row r="21" spans="1:6" x14ac:dyDescent="0.3">
      <c r="A21" s="3" t="s">
        <v>137</v>
      </c>
      <c r="B21" s="20">
        <v>0.26</v>
      </c>
      <c r="C21" s="20">
        <v>0.28000000000000003</v>
      </c>
      <c r="D21" s="18">
        <f t="shared" si="0"/>
        <v>0.27</v>
      </c>
      <c r="E21" s="9" t="s">
        <v>138</v>
      </c>
      <c r="F21" s="9" t="s">
        <v>139</v>
      </c>
    </row>
    <row r="22" spans="1:6" x14ac:dyDescent="0.3">
      <c r="A22" s="3" t="s">
        <v>140</v>
      </c>
      <c r="B22" s="20">
        <v>0.5</v>
      </c>
      <c r="C22" s="20">
        <v>0.55000000000000004</v>
      </c>
      <c r="D22" s="18">
        <f t="shared" si="0"/>
        <v>0.52500000000000002</v>
      </c>
      <c r="E22" s="9" t="s">
        <v>141</v>
      </c>
      <c r="F22" s="9" t="s">
        <v>135</v>
      </c>
    </row>
    <row r="23" spans="1:6" x14ac:dyDescent="0.3">
      <c r="A23" s="3" t="s">
        <v>142</v>
      </c>
      <c r="B23" s="20">
        <v>0.5</v>
      </c>
      <c r="C23" s="20">
        <v>0.6</v>
      </c>
      <c r="D23" s="18">
        <f t="shared" si="0"/>
        <v>0.55000000000000004</v>
      </c>
      <c r="E23" s="9" t="s">
        <v>143</v>
      </c>
      <c r="F23" s="9" t="s">
        <v>144</v>
      </c>
    </row>
    <row r="24" spans="1:6" x14ac:dyDescent="0.3">
      <c r="A24" s="3" t="s">
        <v>145</v>
      </c>
      <c r="B24" s="20">
        <v>0.1</v>
      </c>
      <c r="C24" s="20">
        <v>0.12</v>
      </c>
      <c r="D24" s="18">
        <f t="shared" si="0"/>
        <v>0.11</v>
      </c>
      <c r="E24" s="9" t="s">
        <v>146</v>
      </c>
      <c r="F24" s="9" t="s">
        <v>120</v>
      </c>
    </row>
    <row r="25" spans="1:6" x14ac:dyDescent="0.3">
      <c r="A25" s="3" t="s">
        <v>147</v>
      </c>
      <c r="B25" s="20">
        <v>0.06</v>
      </c>
      <c r="C25" s="20">
        <v>0.08</v>
      </c>
      <c r="D25" s="18">
        <f t="shared" si="0"/>
        <v>7.0000000000000007E-2</v>
      </c>
      <c r="E25" s="9" t="s">
        <v>146</v>
      </c>
      <c r="F25" s="9" t="s">
        <v>129</v>
      </c>
    </row>
    <row r="26" spans="1:6" x14ac:dyDescent="0.3">
      <c r="A26" s="3" t="s">
        <v>148</v>
      </c>
      <c r="B26" s="20">
        <v>0.04</v>
      </c>
      <c r="C26" s="20">
        <v>0.06</v>
      </c>
      <c r="D26" s="18">
        <f t="shared" si="0"/>
        <v>0.05</v>
      </c>
      <c r="E26" s="9" t="s">
        <v>146</v>
      </c>
      <c r="F26" s="9" t="s">
        <v>139</v>
      </c>
    </row>
    <row r="27" spans="1:6" x14ac:dyDescent="0.3">
      <c r="A27" s="3" t="s">
        <v>149</v>
      </c>
      <c r="B27" s="20">
        <v>0.32</v>
      </c>
      <c r="C27" s="20">
        <v>0.34</v>
      </c>
      <c r="D27" s="18">
        <f t="shared" si="0"/>
        <v>0.33</v>
      </c>
      <c r="E27" s="9" t="s">
        <v>150</v>
      </c>
      <c r="F27" s="9" t="s">
        <v>151</v>
      </c>
    </row>
    <row r="28" spans="1:6" x14ac:dyDescent="0.3">
      <c r="A28" s="3" t="s">
        <v>152</v>
      </c>
      <c r="B28" s="20">
        <v>0.33</v>
      </c>
      <c r="C28" s="20">
        <v>0.33</v>
      </c>
      <c r="D28" s="18">
        <f t="shared" si="0"/>
        <v>0.33</v>
      </c>
      <c r="E28" s="9" t="s">
        <v>150</v>
      </c>
      <c r="F28" s="9" t="s">
        <v>151</v>
      </c>
    </row>
    <row r="31" spans="1:6" x14ac:dyDescent="0.3">
      <c r="A31" s="49"/>
    </row>
    <row r="32" spans="1:6" x14ac:dyDescent="0.3">
      <c r="A32" s="3"/>
      <c r="D32" s="18"/>
    </row>
    <row r="33" spans="1:4" x14ac:dyDescent="0.3">
      <c r="A33" s="3"/>
      <c r="D33" s="18"/>
    </row>
    <row r="34" spans="1:4" x14ac:dyDescent="0.3">
      <c r="A34" s="3"/>
      <c r="D34" s="21"/>
    </row>
    <row r="35" spans="1:4" x14ac:dyDescent="0.3">
      <c r="A35" s="3"/>
      <c r="D35" s="16"/>
    </row>
    <row r="36" spans="1:4" x14ac:dyDescent="0.3">
      <c r="A36" s="3"/>
      <c r="D36" s="16"/>
    </row>
    <row r="37" spans="1:4" x14ac:dyDescent="0.3">
      <c r="A37" s="3"/>
      <c r="D37" s="18"/>
    </row>
    <row r="38" spans="1:4" x14ac:dyDescent="0.3">
      <c r="A38" s="3"/>
      <c r="D38" s="22"/>
    </row>
    <row r="39" spans="1:4" x14ac:dyDescent="0.3">
      <c r="A39" s="3"/>
      <c r="D39" s="2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zoomScaleNormal="100" workbookViewId="0">
      <selection activeCell="G10" sqref="G10"/>
    </sheetView>
  </sheetViews>
  <sheetFormatPr defaultColWidth="8.6640625" defaultRowHeight="14.4" x14ac:dyDescent="0.3"/>
  <cols>
    <col min="1" max="1" width="18" customWidth="1"/>
    <col min="2" max="8" width="15" customWidth="1"/>
    <col min="9" max="9" width="14" customWidth="1"/>
    <col min="10" max="11" width="15" customWidth="1"/>
    <col min="12" max="12" width="90" customWidth="1"/>
  </cols>
  <sheetData>
    <row r="1" spans="1:12" ht="17.399999999999999" x14ac:dyDescent="0.3">
      <c r="A1" s="1" t="s">
        <v>154</v>
      </c>
    </row>
    <row r="2" spans="1:12" x14ac:dyDescent="0.3">
      <c r="A2" s="2" t="s">
        <v>155</v>
      </c>
    </row>
    <row r="4" spans="1:12" ht="42" customHeight="1" x14ac:dyDescent="0.3">
      <c r="A4" s="7" t="s">
        <v>45</v>
      </c>
      <c r="B4" s="7" t="s">
        <v>156</v>
      </c>
      <c r="C4" s="7" t="s">
        <v>157</v>
      </c>
      <c r="D4" s="7" t="s">
        <v>158</v>
      </c>
      <c r="E4" s="7" t="s">
        <v>159</v>
      </c>
      <c r="F4" s="7" t="s">
        <v>160</v>
      </c>
      <c r="G4" s="7" t="s">
        <v>161</v>
      </c>
      <c r="H4" s="7" t="s">
        <v>162</v>
      </c>
      <c r="I4" s="7" t="s">
        <v>163</v>
      </c>
      <c r="J4" s="7" t="s">
        <v>164</v>
      </c>
      <c r="K4" s="7" t="s">
        <v>165</v>
      </c>
      <c r="L4" s="7" t="s">
        <v>166</v>
      </c>
    </row>
    <row r="5" spans="1:12" x14ac:dyDescent="0.3">
      <c r="A5" s="3" t="s">
        <v>47</v>
      </c>
      <c r="B5" s="11">
        <v>200.1</v>
      </c>
      <c r="C5" s="14">
        <f>B5/'Macro &amp; Sector Data'!$D$14</f>
        <v>0.28504273504273503</v>
      </c>
      <c r="D5" s="17">
        <f>'Master Data (FY26)'!B4/B5</f>
        <v>442.33633183408296</v>
      </c>
      <c r="E5" s="17">
        <f>'Master Data (FY26)'!B5/B5</f>
        <v>85.058470764617695</v>
      </c>
      <c r="F5" s="17">
        <f>'Master Data (FY26)'!B6/B5</f>
        <v>40.80779610194903</v>
      </c>
      <c r="G5" s="17">
        <f>'Master Data (FY26)'!B10/B5</f>
        <v>1592.8822038980509</v>
      </c>
      <c r="H5" s="23">
        <v>240</v>
      </c>
      <c r="I5" s="24" t="s">
        <v>167</v>
      </c>
      <c r="J5" s="18">
        <f>H5/B5-1</f>
        <v>0.19940029985007501</v>
      </c>
      <c r="K5" s="25">
        <f>RANK(E5,$E$5:$E$9,0)</f>
        <v>1</v>
      </c>
      <c r="L5" s="9" t="s">
        <v>168</v>
      </c>
    </row>
    <row r="6" spans="1:12" x14ac:dyDescent="0.3">
      <c r="A6" s="3" t="s">
        <v>49</v>
      </c>
      <c r="B6" s="11">
        <v>69.3</v>
      </c>
      <c r="C6" s="14">
        <f>B6/'Macro &amp; Sector Data'!$D$14</f>
        <v>9.8717948717948714E-2</v>
      </c>
      <c r="D6" s="17">
        <f>'Master Data (FY26)'!C4/B6</f>
        <v>302.21457431457435</v>
      </c>
      <c r="E6" s="17">
        <f>'Master Data (FY26)'!C5/B6</f>
        <v>66.926406926406926</v>
      </c>
      <c r="F6" s="17">
        <f>'Master Data (FY26)'!C6/B6</f>
        <v>25.233189033189035</v>
      </c>
      <c r="G6" s="17">
        <f>'Master Data (FY26)'!C10/B6</f>
        <v>1140.6880590909091</v>
      </c>
      <c r="H6" s="23">
        <v>80</v>
      </c>
      <c r="I6" s="24" t="s">
        <v>169</v>
      </c>
      <c r="J6" s="18">
        <f>H6/B6-1</f>
        <v>0.15440115440115454</v>
      </c>
      <c r="K6" s="25">
        <f>RANK(E6,$E$5:$E$9,0)</f>
        <v>3</v>
      </c>
      <c r="L6" s="9" t="s">
        <v>170</v>
      </c>
    </row>
    <row r="7" spans="1:12" x14ac:dyDescent="0.3">
      <c r="A7" s="3" t="s">
        <v>51</v>
      </c>
      <c r="B7" s="11">
        <v>109</v>
      </c>
      <c r="C7" s="14">
        <f>B7/'Macro &amp; Sector Data'!$D$14</f>
        <v>0.15527065527065528</v>
      </c>
      <c r="D7" s="17">
        <f>'Master Data (FY26)'!D4/B7</f>
        <v>372.98807339449536</v>
      </c>
      <c r="E7" s="17">
        <f>'Master Data (FY26)'!D5/B7</f>
        <v>58.47981651376147</v>
      </c>
      <c r="F7" s="17">
        <f>'Master Data (FY26)'!D6/B7</f>
        <v>43.377981651376146</v>
      </c>
      <c r="G7" s="17">
        <f>'Master Data (FY26)'!D10/B7</f>
        <v>899.18904209101447</v>
      </c>
      <c r="H7" s="23">
        <v>119</v>
      </c>
      <c r="I7" s="24" t="s">
        <v>171</v>
      </c>
      <c r="J7" s="18">
        <f>H7/B7-1</f>
        <v>9.174311926605494E-2</v>
      </c>
      <c r="K7" s="25">
        <f>RANK(E7,$E$5:$E$9,0)</f>
        <v>4</v>
      </c>
      <c r="L7" s="9" t="s">
        <v>172</v>
      </c>
    </row>
    <row r="8" spans="1:12" x14ac:dyDescent="0.3">
      <c r="A8" s="3" t="s">
        <v>53</v>
      </c>
      <c r="B8" s="11">
        <v>32.26</v>
      </c>
      <c r="C8" s="14">
        <f>B8/'Macro &amp; Sector Data'!$D$14</f>
        <v>4.5954415954415954E-2</v>
      </c>
      <c r="D8" s="17">
        <f>'Master Data (FY26)'!E4/B8</f>
        <v>425.36577805331683</v>
      </c>
      <c r="E8" s="17">
        <f>'Master Data (FY26)'!E5/B8</f>
        <v>73.589584624922509</v>
      </c>
      <c r="F8" s="17">
        <f>'Master Data (FY26)'!E6/B8</f>
        <v>30.765344079355241</v>
      </c>
      <c r="G8" s="17">
        <f>'Master Data (FY26)'!E10/B8</f>
        <v>1204.8394928704279</v>
      </c>
      <c r="H8" s="23">
        <v>50</v>
      </c>
      <c r="I8" s="24" t="s">
        <v>173</v>
      </c>
      <c r="J8" s="18">
        <f>H8/B8-1</f>
        <v>0.54990700557966532</v>
      </c>
      <c r="K8" s="25">
        <f>RANK(E8,$E$5:$E$9,0)</f>
        <v>2</v>
      </c>
      <c r="L8" s="9" t="s">
        <v>174</v>
      </c>
    </row>
    <row r="9" spans="1:12" x14ac:dyDescent="0.3">
      <c r="A9" s="3" t="s">
        <v>55</v>
      </c>
      <c r="B9" s="11">
        <v>54.7</v>
      </c>
      <c r="C9" s="14">
        <f>B9/'Macro &amp; Sector Data'!$D$14</f>
        <v>7.792022792022793E-2</v>
      </c>
      <c r="D9" s="17">
        <f>'Master Data (FY26)'!F4/B9</f>
        <v>270.63985374771477</v>
      </c>
      <c r="E9" s="17">
        <f>'Master Data (FY26)'!F5/B9</f>
        <v>56.361974405850091</v>
      </c>
      <c r="F9" s="17">
        <f>'Master Data (FY26)'!F6/B9</f>
        <v>21.160877513711149</v>
      </c>
      <c r="G9" s="17">
        <f>'Master Data (FY26)'!F10/B9</f>
        <v>579.51243144424132</v>
      </c>
      <c r="H9" s="23">
        <v>67</v>
      </c>
      <c r="I9" s="24" t="s">
        <v>167</v>
      </c>
      <c r="J9" s="18">
        <f>H9/B9-1</f>
        <v>0.22486288848263247</v>
      </c>
      <c r="K9" s="25">
        <f>RANK(E9,$E$5:$E$9,0)</f>
        <v>5</v>
      </c>
      <c r="L9" s="9" t="s">
        <v>175</v>
      </c>
    </row>
    <row r="11" spans="1:12" x14ac:dyDescent="0.3">
      <c r="A11" s="3" t="s">
        <v>176</v>
      </c>
      <c r="B11" s="26">
        <f>SUM(B5:B9)</f>
        <v>465.35999999999996</v>
      </c>
      <c r="C11" s="27">
        <f>SUM(C5:C9)</f>
        <v>0.6629059829059829</v>
      </c>
    </row>
    <row r="13" spans="1:12" x14ac:dyDescent="0.3">
      <c r="A13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zoomScaleNormal="100" workbookViewId="0">
      <selection activeCell="B19" sqref="B19"/>
    </sheetView>
  </sheetViews>
  <sheetFormatPr defaultColWidth="8.6640625" defaultRowHeight="14.4" x14ac:dyDescent="0.3"/>
  <cols>
    <col min="1" max="1" width="22" customWidth="1"/>
    <col min="2" max="2" width="26" customWidth="1"/>
    <col min="3" max="7" width="14" customWidth="1"/>
  </cols>
  <sheetData>
    <row r="1" spans="1:7" ht="17.399999999999999" x14ac:dyDescent="0.3">
      <c r="A1" s="1" t="s">
        <v>177</v>
      </c>
    </row>
    <row r="2" spans="1:7" x14ac:dyDescent="0.3">
      <c r="A2" s="2" t="s">
        <v>178</v>
      </c>
    </row>
    <row r="3" spans="1:7" x14ac:dyDescent="0.3">
      <c r="A3" s="7" t="s">
        <v>58</v>
      </c>
      <c r="B3" s="7" t="s">
        <v>179</v>
      </c>
      <c r="C3" s="7" t="s">
        <v>47</v>
      </c>
      <c r="D3" s="7" t="s">
        <v>49</v>
      </c>
      <c r="E3" s="7" t="s">
        <v>51</v>
      </c>
      <c r="F3" s="7" t="s">
        <v>53</v>
      </c>
      <c r="G3" s="7" t="s">
        <v>55</v>
      </c>
    </row>
    <row r="4" spans="1:7" x14ac:dyDescent="0.3">
      <c r="A4" s="3" t="s">
        <v>60</v>
      </c>
      <c r="B4" s="9" t="s">
        <v>180</v>
      </c>
      <c r="C4" s="17">
        <f>'Master Data (FY26)'!B4</f>
        <v>88511.5</v>
      </c>
      <c r="D4" s="17">
        <f>'Master Data (FY26)'!C4</f>
        <v>20943.47</v>
      </c>
      <c r="E4" s="17">
        <f>'Master Data (FY26)'!D4</f>
        <v>40655.699999999997</v>
      </c>
      <c r="F4" s="17">
        <f>'Master Data (FY26)'!E4</f>
        <v>13722.3</v>
      </c>
      <c r="G4" s="17">
        <f>'Master Data (FY26)'!F4</f>
        <v>14804</v>
      </c>
    </row>
    <row r="5" spans="1:7" x14ac:dyDescent="0.3">
      <c r="A5" s="3" t="s">
        <v>76</v>
      </c>
      <c r="B5" s="9" t="s">
        <v>181</v>
      </c>
      <c r="C5" s="14">
        <f>'Master Data (FY26)'!B14</f>
        <v>0.16531345492271088</v>
      </c>
      <c r="D5" s="14">
        <f>'Master Data (FY26)'!C14</f>
        <v>8.6120139004492557E-2</v>
      </c>
      <c r="E5" s="14">
        <f>'Master Data (FY26)'!D14</f>
        <v>0.15053316127279515</v>
      </c>
      <c r="F5" s="14">
        <f>'Master Data (FY26)'!E14</f>
        <v>0.15515840779853773</v>
      </c>
      <c r="G5" s="14">
        <f>'Master Data (FY26)'!F14</f>
        <v>5.8941344778254745E-2</v>
      </c>
    </row>
    <row r="6" spans="1:7" x14ac:dyDescent="0.3">
      <c r="A6" s="3" t="s">
        <v>182</v>
      </c>
      <c r="B6" s="9" t="s">
        <v>183</v>
      </c>
      <c r="C6" s="14">
        <f>'Master Data (FY26)'!B15</f>
        <v>0.11725402042202138</v>
      </c>
      <c r="D6" s="14">
        <f>'Master Data (FY26)'!C15</f>
        <v>1.3138433235987623E-2</v>
      </c>
      <c r="E6" s="14">
        <f>'Master Data (FY26)'!D15</f>
        <v>0.10727649263256933</v>
      </c>
      <c r="F6" s="14">
        <f>'Master Data (FY26)'!E15</f>
        <v>8.9706868469695999E-2</v>
      </c>
      <c r="G6" s="14">
        <f>'Master Data (FY26)'!F15</f>
        <v>3.8385249060202131E-3</v>
      </c>
    </row>
    <row r="7" spans="1:7" x14ac:dyDescent="0.3">
      <c r="A7" s="3" t="s">
        <v>62</v>
      </c>
      <c r="B7" s="9" t="s">
        <v>180</v>
      </c>
      <c r="C7" s="17">
        <f>'Master Data (FY26)'!B5</f>
        <v>17020.2</v>
      </c>
      <c r="D7" s="17">
        <f>'Master Data (FY26)'!C5</f>
        <v>4638</v>
      </c>
      <c r="E7" s="17">
        <f>'Master Data (FY26)'!D5</f>
        <v>6374.3</v>
      </c>
      <c r="F7" s="17">
        <f>'Master Data (FY26)'!E5</f>
        <v>2374</v>
      </c>
      <c r="G7" s="17">
        <f>'Master Data (FY26)'!F5</f>
        <v>3083</v>
      </c>
    </row>
    <row r="8" spans="1:7" x14ac:dyDescent="0.3">
      <c r="A8" s="3" t="s">
        <v>184</v>
      </c>
      <c r="B8" s="9" t="s">
        <v>185</v>
      </c>
      <c r="C8" s="18">
        <f>C7/C4</f>
        <v>0.19229365675646667</v>
      </c>
      <c r="D8" s="18">
        <f>D7/D4</f>
        <v>0.22145327397990877</v>
      </c>
      <c r="E8" s="18">
        <f>E7/E4</f>
        <v>0.15678736314957067</v>
      </c>
      <c r="F8" s="18">
        <f>F7/F4</f>
        <v>0.17300306799880488</v>
      </c>
      <c r="G8" s="18">
        <f>G7/G4</f>
        <v>0.2082545258038368</v>
      </c>
    </row>
    <row r="9" spans="1:7" x14ac:dyDescent="0.3">
      <c r="A9" s="3" t="s">
        <v>89</v>
      </c>
      <c r="B9" s="9" t="s">
        <v>180</v>
      </c>
      <c r="C9" s="17">
        <f>'Master Data (FY26)'!B6</f>
        <v>8165.64</v>
      </c>
      <c r="D9" s="17">
        <f>'Master Data (FY26)'!C6</f>
        <v>1748.66</v>
      </c>
      <c r="E9" s="17">
        <f>'Master Data (FY26)'!D6</f>
        <v>4728.2</v>
      </c>
      <c r="F9" s="17">
        <f>'Master Data (FY26)'!E6</f>
        <v>992.49</v>
      </c>
      <c r="G9" s="17">
        <f>'Master Data (FY26)'!F6</f>
        <v>1157.5</v>
      </c>
    </row>
    <row r="10" spans="1:7" x14ac:dyDescent="0.3">
      <c r="A10" s="3" t="s">
        <v>186</v>
      </c>
      <c r="B10" s="9" t="s">
        <v>187</v>
      </c>
      <c r="C10" s="18">
        <f>C9/C4</f>
        <v>9.2255130689232481E-2</v>
      </c>
      <c r="D10" s="18">
        <f>D9/D4</f>
        <v>8.3494282466086089E-2</v>
      </c>
      <c r="E10" s="18">
        <f>E9/E4</f>
        <v>0.11629857559948543</v>
      </c>
      <c r="F10" s="18">
        <f>F9/F4</f>
        <v>7.2326796528278794E-2</v>
      </c>
      <c r="G10" s="18">
        <f>G9/G4</f>
        <v>7.818832747905971E-2</v>
      </c>
    </row>
    <row r="11" spans="1:7" x14ac:dyDescent="0.3">
      <c r="A11" s="3" t="s">
        <v>188</v>
      </c>
      <c r="B11" s="9" t="s">
        <v>189</v>
      </c>
      <c r="C11" s="28">
        <f>'Master Data (FY26)'!B10/C9</f>
        <v>39.033771878260609</v>
      </c>
      <c r="D11" s="28">
        <f>'Master Data (FY26)'!C10/D9</f>
        <v>45.205861914265782</v>
      </c>
      <c r="E11" s="28">
        <f>'Master Data (FY26)'!D10/E9</f>
        <v>20.729158154883589</v>
      </c>
      <c r="F11" s="28">
        <f>'Master Data (FY26)'!E10/F9</f>
        <v>39.162230390230633</v>
      </c>
      <c r="G11" s="28">
        <f>'Master Data (FY26)'!F10/G9</f>
        <v>27.386030237580997</v>
      </c>
    </row>
    <row r="12" spans="1:7" x14ac:dyDescent="0.3">
      <c r="A12" s="3" t="s">
        <v>190</v>
      </c>
      <c r="B12" s="9" t="s">
        <v>191</v>
      </c>
      <c r="C12" s="28">
        <f>'Master Data (FY26)'!B10/'Master Data (FY26)'!B7</f>
        <v>4.5137158146552077</v>
      </c>
      <c r="D12" s="28">
        <f>'Master Data (FY26)'!C10/'Master Data (FY26)'!C7</f>
        <v>3.5114829874840332</v>
      </c>
      <c r="E12" s="28">
        <f>'Master Data (FY26)'!D10/'Master Data (FY26)'!D7</f>
        <v>1.8652258377853326</v>
      </c>
      <c r="F12" s="28">
        <f>'Master Data (FY26)'!E10/'Master Data (FY26)'!E7</f>
        <v>5.58394849308986</v>
      </c>
      <c r="G12" s="28">
        <f>'Master Data (FY26)'!F10/'Master Data (FY26)'!F7</f>
        <v>1.7631308749096168</v>
      </c>
    </row>
    <row r="13" spans="1:7" x14ac:dyDescent="0.3">
      <c r="A13" s="3" t="s">
        <v>192</v>
      </c>
      <c r="B13" s="9" t="s">
        <v>193</v>
      </c>
      <c r="C13" s="14">
        <f>C9/'Master Data (FY26)'!B7</f>
        <v>0.11563616830914225</v>
      </c>
      <c r="D13" s="14">
        <f>D9/'Master Data (FY26)'!C7</f>
        <v>7.7677602832651696E-2</v>
      </c>
      <c r="E13" s="14">
        <f>E9/'Master Data (FY26)'!D7</f>
        <v>8.9980780881152356E-2</v>
      </c>
      <c r="F13" s="14">
        <f>F9/'Master Data (FY26)'!E7</f>
        <v>0.14258504782411027</v>
      </c>
      <c r="G13" s="14">
        <f>G9/'Master Data (FY26)'!F7</f>
        <v>6.4380666332943995E-2</v>
      </c>
    </row>
    <row r="14" spans="1:7" x14ac:dyDescent="0.3">
      <c r="A14" s="3" t="s">
        <v>79</v>
      </c>
      <c r="B14" s="9" t="s">
        <v>194</v>
      </c>
      <c r="C14" s="29">
        <f>'Master Data (FY26)'!B17</f>
        <v>0.33640336113280833</v>
      </c>
      <c r="D14" s="29">
        <f>'Master Data (FY26)'!C17</f>
        <v>8.2978830699732012E-2</v>
      </c>
      <c r="E14" s="29">
        <f>'Master Data (FY26)'!D17</f>
        <v>1.6480554173486303E-2</v>
      </c>
      <c r="F14" s="29">
        <f>'Master Data (FY26)'!E17</f>
        <v>0.87</v>
      </c>
      <c r="G14" s="29">
        <f>'Master Data (FY26)'!F17</f>
        <v>0.41314867345236111</v>
      </c>
    </row>
    <row r="15" spans="1:7" x14ac:dyDescent="0.3">
      <c r="A15" s="3" t="s">
        <v>195</v>
      </c>
      <c r="B15" s="9" t="s">
        <v>196</v>
      </c>
      <c r="C15" s="28">
        <f>'Master Data (FY26)'!B10/C4</f>
        <v>3.60106572592262</v>
      </c>
      <c r="D15" s="28">
        <f>'Master Data (FY26)'!C10/D4</f>
        <v>3.7744310037925901</v>
      </c>
      <c r="E15" s="28">
        <f>'Master Data (FY26)'!D10/E4</f>
        <v>2.410771566789419</v>
      </c>
      <c r="F15" s="28">
        <f>'Master Data (FY26)'!E10/F4</f>
        <v>2.832478669027787</v>
      </c>
      <c r="G15" s="28">
        <f>'Master Data (FY26)'!F10/G4</f>
        <v>2.1412679005674145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Normal="100" workbookViewId="0">
      <selection activeCell="A11" sqref="A11"/>
    </sheetView>
  </sheetViews>
  <sheetFormatPr defaultColWidth="8.6640625" defaultRowHeight="14.4" x14ac:dyDescent="0.3"/>
  <cols>
    <col min="1" max="1" width="18" customWidth="1"/>
    <col min="2" max="3" width="13" customWidth="1"/>
    <col min="4" max="4" width="15" customWidth="1"/>
    <col min="5" max="5" width="16" customWidth="1"/>
    <col min="6" max="6" width="15" customWidth="1"/>
    <col min="7" max="7" width="16" customWidth="1"/>
    <col min="8" max="11" width="18" customWidth="1"/>
  </cols>
  <sheetData>
    <row r="1" spans="1:11" ht="17.399999999999999" x14ac:dyDescent="0.3">
      <c r="A1" s="1" t="s">
        <v>197</v>
      </c>
    </row>
    <row r="2" spans="1:11" x14ac:dyDescent="0.3">
      <c r="A2" s="2" t="s">
        <v>198</v>
      </c>
    </row>
    <row r="4" spans="1:11" ht="43.5" customHeight="1" x14ac:dyDescent="0.3">
      <c r="A4" s="7" t="s">
        <v>45</v>
      </c>
      <c r="B4" s="7" t="s">
        <v>199</v>
      </c>
      <c r="C4" s="7" t="s">
        <v>200</v>
      </c>
      <c r="D4" s="7" t="s">
        <v>201</v>
      </c>
      <c r="E4" s="7" t="s">
        <v>202</v>
      </c>
      <c r="F4" s="7" t="s">
        <v>203</v>
      </c>
      <c r="G4" s="7" t="s">
        <v>204</v>
      </c>
      <c r="H4" s="7" t="s">
        <v>205</v>
      </c>
      <c r="I4" s="7" t="s">
        <v>206</v>
      </c>
      <c r="J4" s="7" t="s">
        <v>207</v>
      </c>
      <c r="K4" s="7" t="s">
        <v>208</v>
      </c>
    </row>
    <row r="5" spans="1:11" x14ac:dyDescent="0.3">
      <c r="A5" s="3" t="s">
        <v>47</v>
      </c>
      <c r="B5" s="30">
        <f>'Master Data (FY26)'!B8</f>
        <v>10830.3</v>
      </c>
      <c r="C5" s="30">
        <f>'Master Data (FY26)'!B9</f>
        <v>29.43</v>
      </c>
      <c r="D5" s="28">
        <f>MEDIAN('Ratio Analysis'!D11,'Ratio Analysis'!E11,'Ratio Analysis'!F11,'Ratio Analysis'!G11)</f>
        <v>33.274130313905815</v>
      </c>
      <c r="E5" s="17">
        <f>'Master Data (FY26)'!B6*D5/C5</f>
        <v>9232.2313780646255</v>
      </c>
      <c r="F5" s="28">
        <f>MEDIAN('Ratio Analysis'!D12,'Ratio Analysis'!E12,'Ratio Analysis'!F12,'Ratio Analysis'!G12)</f>
        <v>2.6883544126346828</v>
      </c>
      <c r="G5" s="17">
        <f>'Master Data (FY26)'!B7*F5/C5</f>
        <v>6450.491344763911</v>
      </c>
      <c r="H5" s="18">
        <f>AVERAGE(E5,G5)/B5-1</f>
        <v>-0.27597930238181134</v>
      </c>
      <c r="I5" s="17">
        <f>'Master Data (FY26)'!B6*'Valuation Justification'!N5/C5</f>
        <v>10830.3</v>
      </c>
      <c r="J5" s="17">
        <f>'Master Data (FY26)'!B7*'Valuation Justification'!O5/C5</f>
        <v>10830.3</v>
      </c>
      <c r="K5" s="18">
        <f>AVERAGE(I5,J5)/B5-1</f>
        <v>0</v>
      </c>
    </row>
    <row r="6" spans="1:11" x14ac:dyDescent="0.3">
      <c r="A6" s="3" t="s">
        <v>49</v>
      </c>
      <c r="B6" s="30">
        <f>'Master Data (FY26)'!C8</f>
        <v>21908.95</v>
      </c>
      <c r="C6" s="30">
        <f>'Master Data (FY26)'!C9</f>
        <v>3.6080999999999999</v>
      </c>
      <c r="D6" s="28">
        <f>MEDIAN('Ratio Analysis'!C11,'Ratio Analysis'!E11,'Ratio Analysis'!F11,'Ratio Analysis'!G11)</f>
        <v>33.209901057920803</v>
      </c>
      <c r="E6" s="17">
        <f>'Master Data (FY26)'!C6*D6/C6</f>
        <v>16095.126405571851</v>
      </c>
      <c r="F6" s="28">
        <f>MEDIAN('Ratio Analysis'!C12,'Ratio Analysis'!E12,'Ratio Analysis'!F12,'Ratio Analysis'!G12)</f>
        <v>3.18947082622027</v>
      </c>
      <c r="G6" s="17">
        <f>'Master Data (FY26)'!C7*F6/C6</f>
        <v>19899.842063078293</v>
      </c>
      <c r="H6" s="18">
        <f>AVERAGE(E6,G6)/B6-1</f>
        <v>-0.17853278069806766</v>
      </c>
      <c r="I6" s="17">
        <f>'Master Data (FY26)'!C6*'Valuation Justification'!N6/C6</f>
        <v>19002.038202785927</v>
      </c>
      <c r="J6" s="17">
        <f>'Master Data (FY26)'!C7*'Valuation Justification'!O6/C6</f>
        <v>20904.396031539145</v>
      </c>
      <c r="K6" s="18">
        <f>AVERAGE(I6,J6)/B6-1</f>
        <v>-8.926639034903372E-2</v>
      </c>
    </row>
    <row r="7" spans="1:11" x14ac:dyDescent="0.3">
      <c r="A7" s="3" t="s">
        <v>51</v>
      </c>
      <c r="B7" s="30">
        <f>'Master Data (FY26)'!D8</f>
        <v>384.05</v>
      </c>
      <c r="C7" s="30">
        <f>'Master Data (FY26)'!D9</f>
        <v>255.20532635834027</v>
      </c>
      <c r="D7" s="28">
        <f>MEDIAN('Ratio Analysis'!C11,'Ratio Analysis'!D11,'Ratio Analysis'!F11,'Ratio Analysis'!G11)</f>
        <v>39.098001134245621</v>
      </c>
      <c r="E7" s="17">
        <f>'Master Data (FY26)'!D6*D7/C7</f>
        <v>724.37033976073474</v>
      </c>
      <c r="F7" s="28">
        <f>MEDIAN('Ratio Analysis'!C12,'Ratio Analysis'!D12,'Ratio Analysis'!F12,'Ratio Analysis'!G12)</f>
        <v>4.01259940106962</v>
      </c>
      <c r="G7" s="17">
        <f>'Master Data (FY26)'!D7*F7/C7</f>
        <v>826.19421668023472</v>
      </c>
      <c r="H7" s="18">
        <f>AVERAGE(E7,G7)/B7-1</f>
        <v>1.0187014144525053</v>
      </c>
      <c r="I7" s="17">
        <f>'Master Data (FY26)'!D6*'Valuation Justification'!N7/C7</f>
        <v>554.2101698803674</v>
      </c>
      <c r="J7" s="17">
        <f>'Master Data (FY26)'!D7*'Valuation Justification'!O7/C7</f>
        <v>605.12210834011751</v>
      </c>
      <c r="K7" s="18">
        <f>AVERAGE(I7,J7)/B7-1</f>
        <v>0.50935070722625309</v>
      </c>
    </row>
    <row r="8" spans="1:11" x14ac:dyDescent="0.3">
      <c r="A8" s="3" t="s">
        <v>53</v>
      </c>
      <c r="B8" s="30">
        <f>'Master Data (FY26)'!E8</f>
        <v>5030.3</v>
      </c>
      <c r="C8" s="30">
        <f>'Master Data (FY26)'!E9</f>
        <v>7.7267999999999999</v>
      </c>
      <c r="D8" s="28">
        <f>MEDIAN('Ratio Analysis'!C11,'Ratio Analysis'!D11,'Ratio Analysis'!E11,'Ratio Analysis'!G11)</f>
        <v>33.209901057920803</v>
      </c>
      <c r="E8" s="17">
        <f>'Master Data (FY26)'!E6*D8/C8</f>
        <v>4265.7367475508381</v>
      </c>
      <c r="F8" s="28">
        <f>MEDIAN('Ratio Analysis'!C12,'Ratio Analysis'!D12,'Ratio Analysis'!E12,'Ratio Analysis'!G12)</f>
        <v>2.6883544126346828</v>
      </c>
      <c r="G8" s="17">
        <f>'Master Data (FY26)'!E7*F8/C8</f>
        <v>2421.8040726219542</v>
      </c>
      <c r="H8" s="18">
        <f>AVERAGE(E8,G8)/B8-1</f>
        <v>-0.33527415659376258</v>
      </c>
      <c r="I8" s="17">
        <f>'Master Data (FY26)'!E6*'Valuation Justification'!N8/C8</f>
        <v>4839.1591868877094</v>
      </c>
      <c r="J8" s="17">
        <f>'Master Data (FY26)'!E7*'Valuation Justification'!O8/C8</f>
        <v>4378.1760181554891</v>
      </c>
      <c r="K8" s="18">
        <f>AVERAGE(I8,J8)/B8-1</f>
        <v>-8.3818539148440618E-2</v>
      </c>
    </row>
    <row r="9" spans="1:11" x14ac:dyDescent="0.3">
      <c r="A9" s="3" t="s">
        <v>55</v>
      </c>
      <c r="B9" s="30">
        <f>'Master Data (FY26)'!F8</f>
        <v>1690</v>
      </c>
      <c r="C9" s="30">
        <f>'Master Data (FY26)'!F9</f>
        <v>18.757000000000001</v>
      </c>
      <c r="D9" s="28">
        <f>MEDIAN('Ratio Analysis'!C11,'Ratio Analysis'!D11,'Ratio Analysis'!E11,'Ratio Analysis'!F11)</f>
        <v>39.098001134245621</v>
      </c>
      <c r="E9" s="17">
        <f>'Master Data (FY26)'!F6*D9/C9</f>
        <v>2412.7491769946851</v>
      </c>
      <c r="F9" s="28">
        <f>MEDIAN('Ratio Analysis'!C12,'Ratio Analysis'!D12,'Ratio Analysis'!E12,'Ratio Analysis'!F12)</f>
        <v>4.01259940106962</v>
      </c>
      <c r="G9" s="17">
        <f>'Master Data (FY26)'!F7*F9/C9</f>
        <v>3846.1654119438449</v>
      </c>
      <c r="H9" s="18">
        <f>AVERAGE(E9,G9)/B9-1</f>
        <v>0.85174987838418037</v>
      </c>
      <c r="I9" s="17">
        <f>'Master Data (FY26)'!F6*'Valuation Justification'!N9/C9</f>
        <v>2051.3745884973423</v>
      </c>
      <c r="J9" s="17">
        <f>'Master Data (FY26)'!F7*'Valuation Justification'!O9/C9</f>
        <v>2768.0827059719222</v>
      </c>
      <c r="K9" s="18">
        <f>AVERAGE(I9,J9)/B9-1</f>
        <v>0.42587493919209019</v>
      </c>
    </row>
    <row r="11" spans="1:11" x14ac:dyDescent="0.3">
      <c r="A11" s="2" t="s">
        <v>209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zoomScaleNormal="100" workbookViewId="0">
      <selection activeCell="F11" sqref="F11"/>
    </sheetView>
  </sheetViews>
  <sheetFormatPr defaultColWidth="8.6640625" defaultRowHeight="14.4" x14ac:dyDescent="0.3"/>
  <cols>
    <col min="1" max="1" width="30" customWidth="1"/>
    <col min="2" max="2" width="14" customWidth="1"/>
    <col min="3" max="4" width="16" customWidth="1"/>
    <col min="5" max="5" width="12" customWidth="1"/>
    <col min="6" max="6" width="16" customWidth="1"/>
    <col min="7" max="7" width="14" customWidth="1"/>
    <col min="8" max="9" width="16" customWidth="1"/>
    <col min="10" max="10" width="18" customWidth="1"/>
    <col min="11" max="11" width="14" customWidth="1"/>
    <col min="12" max="12" width="11" customWidth="1"/>
    <col min="13" max="13" width="13" customWidth="1"/>
    <col min="14" max="15" width="12" customWidth="1"/>
    <col min="16" max="16" width="80" customWidth="1"/>
  </cols>
  <sheetData>
    <row r="1" spans="1:16" ht="17.399999999999999" x14ac:dyDescent="0.3">
      <c r="A1" s="1" t="s">
        <v>210</v>
      </c>
    </row>
    <row r="2" spans="1:16" x14ac:dyDescent="0.3">
      <c r="A2" s="2" t="s">
        <v>211</v>
      </c>
    </row>
    <row r="4" spans="1:16" ht="61.5" customHeight="1" x14ac:dyDescent="0.3">
      <c r="A4" s="7" t="s">
        <v>45</v>
      </c>
      <c r="B4" s="7" t="s">
        <v>212</v>
      </c>
      <c r="C4" s="7" t="s">
        <v>213</v>
      </c>
      <c r="D4" s="7" t="s">
        <v>214</v>
      </c>
      <c r="E4" s="7" t="s">
        <v>215</v>
      </c>
      <c r="F4" s="7" t="s">
        <v>216</v>
      </c>
      <c r="G4" s="7" t="s">
        <v>217</v>
      </c>
      <c r="H4" s="7" t="s">
        <v>218</v>
      </c>
      <c r="I4" s="7" t="s">
        <v>219</v>
      </c>
      <c r="J4" s="7" t="s">
        <v>220</v>
      </c>
      <c r="K4" s="7" t="s">
        <v>221</v>
      </c>
      <c r="L4" s="7" t="s">
        <v>222</v>
      </c>
      <c r="M4" s="7" t="s">
        <v>223</v>
      </c>
      <c r="N4" s="7" t="s">
        <v>224</v>
      </c>
      <c r="O4" s="7" t="s">
        <v>225</v>
      </c>
      <c r="P4" s="7" t="s">
        <v>226</v>
      </c>
    </row>
    <row r="5" spans="1:16" ht="43.5" customHeight="1" x14ac:dyDescent="0.3">
      <c r="A5" s="3" t="s">
        <v>47</v>
      </c>
      <c r="B5" s="28">
        <f>'Ratio Analysis'!C11</f>
        <v>39.033771878260609</v>
      </c>
      <c r="C5" s="28">
        <f>'CCA Valuation'!D5</f>
        <v>33.274130313905815</v>
      </c>
      <c r="D5" s="18">
        <f>B5/C5-1</f>
        <v>0.17309668231802733</v>
      </c>
      <c r="E5" s="28">
        <f>'Ratio Analysis'!C12</f>
        <v>4.5137158146552077</v>
      </c>
      <c r="F5" s="28">
        <f>'CCA Valuation'!F5</f>
        <v>2.6883544126346828</v>
      </c>
      <c r="G5" s="25">
        <f t="shared" ref="G5:I9" si="0">IF(B14&gt;=B$19,1,0)</f>
        <v>1</v>
      </c>
      <c r="H5" s="25">
        <f t="shared" si="0"/>
        <v>1</v>
      </c>
      <c r="I5" s="25">
        <f t="shared" si="0"/>
        <v>1</v>
      </c>
      <c r="J5" s="25">
        <f>IF(AND(E14&gt;=E$21,E14&lt;=E$22),1,0)</f>
        <v>1</v>
      </c>
      <c r="K5" s="16">
        <f>SUM(G5:J5)/4</f>
        <v>1</v>
      </c>
      <c r="L5" s="9" t="str">
        <f>IF(C5&gt;B5,"Discount","Premium")</f>
        <v>Premium</v>
      </c>
      <c r="M5" s="16">
        <f>IF(C5&gt;B5,K5,1-K5)</f>
        <v>0</v>
      </c>
      <c r="N5" s="31">
        <f>B5+M5*(C5-B5)</f>
        <v>39.033771878260609</v>
      </c>
      <c r="O5" s="31">
        <f>E5+M5*(F5-E5)</f>
        <v>4.5137158146552077</v>
      </c>
      <c r="P5" s="4" t="s">
        <v>227</v>
      </c>
    </row>
    <row r="6" spans="1:16" ht="43.5" customHeight="1" x14ac:dyDescent="0.3">
      <c r="A6" s="3" t="s">
        <v>49</v>
      </c>
      <c r="B6" s="28">
        <f>'Ratio Analysis'!D11</f>
        <v>45.205861914265782</v>
      </c>
      <c r="C6" s="28">
        <f>'CCA Valuation'!D6</f>
        <v>33.209901057920803</v>
      </c>
      <c r="D6" s="18">
        <f>B6/C6-1</f>
        <v>0.36121639855002985</v>
      </c>
      <c r="E6" s="28">
        <f>'Ratio Analysis'!D12</f>
        <v>3.5114829874840332</v>
      </c>
      <c r="F6" s="28">
        <f>'CCA Valuation'!F6</f>
        <v>3.18947082622027</v>
      </c>
      <c r="G6" s="25">
        <f t="shared" si="0"/>
        <v>0</v>
      </c>
      <c r="H6" s="25">
        <f t="shared" si="0"/>
        <v>1</v>
      </c>
      <c r="I6" s="25">
        <f t="shared" si="0"/>
        <v>0</v>
      </c>
      <c r="J6" s="25">
        <f>IF(AND(E15&gt;=E$21,E15&lt;=E$22),1,0)</f>
        <v>1</v>
      </c>
      <c r="K6" s="16">
        <f>SUM(G6:J6)/4</f>
        <v>0.5</v>
      </c>
      <c r="L6" s="9" t="str">
        <f>IF(C6&gt;B6,"Discount","Premium")</f>
        <v>Premium</v>
      </c>
      <c r="M6" s="16">
        <f>IF(C6&gt;B6,K6,1-K6)</f>
        <v>0.5</v>
      </c>
      <c r="N6" s="31">
        <f>B6+M6*(C6-B6)</f>
        <v>39.207881486093292</v>
      </c>
      <c r="O6" s="31">
        <f>E6+M6*(F6-E6)</f>
        <v>3.3504769068521516</v>
      </c>
      <c r="P6" s="4" t="s">
        <v>228</v>
      </c>
    </row>
    <row r="7" spans="1:16" ht="43.5" customHeight="1" x14ac:dyDescent="0.3">
      <c r="A7" s="3" t="s">
        <v>51</v>
      </c>
      <c r="B7" s="28">
        <f>'Ratio Analysis'!E11</f>
        <v>20.729158154883589</v>
      </c>
      <c r="C7" s="28">
        <f>'CCA Valuation'!D7</f>
        <v>39.098001134245621</v>
      </c>
      <c r="D7" s="18">
        <f>B7/C7-1</f>
        <v>-0.46981539839572295</v>
      </c>
      <c r="E7" s="28">
        <f>'Ratio Analysis'!E12</f>
        <v>1.8652258377853326</v>
      </c>
      <c r="F7" s="28">
        <f>'CCA Valuation'!F7</f>
        <v>4.01259940106962</v>
      </c>
      <c r="G7" s="25">
        <f t="shared" si="0"/>
        <v>1</v>
      </c>
      <c r="H7" s="25">
        <f t="shared" si="0"/>
        <v>0</v>
      </c>
      <c r="I7" s="25">
        <f t="shared" si="0"/>
        <v>1</v>
      </c>
      <c r="J7" s="25">
        <f>IF(AND(E16&gt;=E$21,E16&lt;=E$22),1,0)</f>
        <v>0</v>
      </c>
      <c r="K7" s="16">
        <f>SUM(G7:J7)/4</f>
        <v>0.5</v>
      </c>
      <c r="L7" s="9" t="str">
        <f>IF(C7&gt;B7,"Discount","Premium")</f>
        <v>Discount</v>
      </c>
      <c r="M7" s="16">
        <f>IF(C7&gt;B7,K7,1-K7)</f>
        <v>0.5</v>
      </c>
      <c r="N7" s="31">
        <f>B7+M7*(C7-B7)</f>
        <v>29.913579644564606</v>
      </c>
      <c r="O7" s="31">
        <f>E7+M7*(F7-E7)</f>
        <v>2.9389126194274766</v>
      </c>
      <c r="P7" s="4" t="s">
        <v>229</v>
      </c>
    </row>
    <row r="8" spans="1:16" ht="43.5" customHeight="1" x14ac:dyDescent="0.3">
      <c r="A8" s="3" t="s">
        <v>53</v>
      </c>
      <c r="B8" s="28">
        <f>'Ratio Analysis'!F11</f>
        <v>39.162230390230633</v>
      </c>
      <c r="C8" s="28">
        <f>'CCA Valuation'!D8</f>
        <v>33.209901057920803</v>
      </c>
      <c r="D8" s="18">
        <f>B8/C8-1</f>
        <v>0.17923357621356595</v>
      </c>
      <c r="E8" s="28">
        <f>'Ratio Analysis'!F12</f>
        <v>5.58394849308986</v>
      </c>
      <c r="F8" s="28">
        <f>'CCA Valuation'!F8</f>
        <v>2.6883544126346828</v>
      </c>
      <c r="G8" s="25">
        <f t="shared" si="0"/>
        <v>1</v>
      </c>
      <c r="H8" s="25">
        <f t="shared" si="0"/>
        <v>0</v>
      </c>
      <c r="I8" s="25">
        <f t="shared" si="0"/>
        <v>1</v>
      </c>
      <c r="J8" s="25">
        <f>IF(AND(E17&gt;=E$21,E17&lt;=E$22),1,0)</f>
        <v>1</v>
      </c>
      <c r="K8" s="16">
        <f>SUM(G8:J8)/4</f>
        <v>0.75</v>
      </c>
      <c r="L8" s="9" t="str">
        <f>IF(C8&gt;B8,"Discount","Premium")</f>
        <v>Premium</v>
      </c>
      <c r="M8" s="16">
        <f>IF(C8&gt;B8,K8,1-K8)</f>
        <v>0.25</v>
      </c>
      <c r="N8" s="31">
        <f>B8+M8*(C8-B8)</f>
        <v>37.674148057153175</v>
      </c>
      <c r="O8" s="31">
        <f>E8+M8*(F8-E8)</f>
        <v>4.860049972976066</v>
      </c>
      <c r="P8" s="4" t="s">
        <v>230</v>
      </c>
    </row>
    <row r="9" spans="1:16" ht="43.5" customHeight="1" x14ac:dyDescent="0.3">
      <c r="A9" s="3" t="s">
        <v>55</v>
      </c>
      <c r="B9" s="28">
        <f>'Ratio Analysis'!G11</f>
        <v>27.386030237580997</v>
      </c>
      <c r="C9" s="28">
        <f>'CCA Valuation'!D9</f>
        <v>39.098001134245621</v>
      </c>
      <c r="D9" s="18">
        <f>B9/C9-1</f>
        <v>-0.29955421138924165</v>
      </c>
      <c r="E9" s="28">
        <f>'Ratio Analysis'!G12</f>
        <v>1.7631308749096168</v>
      </c>
      <c r="F9" s="28">
        <f>'CCA Valuation'!F9</f>
        <v>4.01259940106962</v>
      </c>
      <c r="G9" s="25">
        <f t="shared" si="0"/>
        <v>0</v>
      </c>
      <c r="H9" s="25">
        <f t="shared" si="0"/>
        <v>1</v>
      </c>
      <c r="I9" s="25">
        <f t="shared" si="0"/>
        <v>0</v>
      </c>
      <c r="J9" s="25">
        <f>IF(AND(E18&gt;=E$21,E18&lt;=E$22),1,0)</f>
        <v>1</v>
      </c>
      <c r="K9" s="16">
        <f>SUM(G9:J9)/4</f>
        <v>0.5</v>
      </c>
      <c r="L9" s="9" t="str">
        <f>IF(C9&gt;B9,"Discount","Premium")</f>
        <v>Discount</v>
      </c>
      <c r="M9" s="16">
        <f>IF(C9&gt;B9,K9,1-K9)</f>
        <v>0.5</v>
      </c>
      <c r="N9" s="31">
        <f>B9+M9*(C9-B9)</f>
        <v>33.242015685913309</v>
      </c>
      <c r="O9" s="31">
        <f>E9+M9*(F9-E9)</f>
        <v>2.8878651379896185</v>
      </c>
      <c r="P9" s="4" t="s">
        <v>231</v>
      </c>
    </row>
    <row r="11" spans="1:16" x14ac:dyDescent="0.3">
      <c r="A11" s="2" t="s">
        <v>232</v>
      </c>
    </row>
    <row r="13" spans="1:16" ht="39.6" x14ac:dyDescent="0.3">
      <c r="A13" s="7" t="s">
        <v>233</v>
      </c>
      <c r="B13" s="7" t="s">
        <v>192</v>
      </c>
      <c r="C13" s="7" t="s">
        <v>234</v>
      </c>
      <c r="D13" s="7" t="s">
        <v>235</v>
      </c>
      <c r="E13" s="7" t="s">
        <v>236</v>
      </c>
    </row>
    <row r="14" spans="1:16" x14ac:dyDescent="0.3">
      <c r="A14" s="3" t="s">
        <v>47</v>
      </c>
      <c r="B14" s="14">
        <f>'Ratio Analysis'!C13</f>
        <v>0.11563616830914225</v>
      </c>
      <c r="C14" s="14">
        <f>'Ratio Analysis'!C8</f>
        <v>0.19229365675646667</v>
      </c>
      <c r="D14" s="14">
        <f>'Ratio Analysis'!C6</f>
        <v>0.11725402042202138</v>
      </c>
      <c r="E14" s="14">
        <f>'Master Data (FY26)'!B6/'Master Data (FY26)'!B5</f>
        <v>0.47976169492720416</v>
      </c>
    </row>
    <row r="15" spans="1:16" x14ac:dyDescent="0.3">
      <c r="A15" s="3" t="s">
        <v>49</v>
      </c>
      <c r="B15" s="14">
        <f>'Ratio Analysis'!D13</f>
        <v>7.7677602832651696E-2</v>
      </c>
      <c r="C15" s="14">
        <f>'Ratio Analysis'!D8</f>
        <v>0.22145327397990877</v>
      </c>
      <c r="D15" s="14">
        <f>'Ratio Analysis'!D6</f>
        <v>1.3138433235987623E-2</v>
      </c>
      <c r="E15" s="14">
        <f>'Master Data (FY26)'!C6/'Master Data (FY26)'!C5</f>
        <v>0.37702889176369125</v>
      </c>
    </row>
    <row r="16" spans="1:16" x14ac:dyDescent="0.3">
      <c r="A16" s="3" t="s">
        <v>51</v>
      </c>
      <c r="B16" s="14">
        <f>'Ratio Analysis'!E13</f>
        <v>8.9980780881152356E-2</v>
      </c>
      <c r="C16" s="14">
        <f>'Ratio Analysis'!E8</f>
        <v>0.15678736314957067</v>
      </c>
      <c r="D16" s="14">
        <f>'Ratio Analysis'!E6</f>
        <v>0.10727649263256933</v>
      </c>
      <c r="E16" s="14">
        <f>'Master Data (FY26)'!D6/'Master Data (FY26)'!D5</f>
        <v>0.74175987951618216</v>
      </c>
    </row>
    <row r="17" spans="1:5" x14ac:dyDescent="0.3">
      <c r="A17" s="3" t="s">
        <v>53</v>
      </c>
      <c r="B17" s="14">
        <f>'Ratio Analysis'!F13</f>
        <v>0.14258504782411027</v>
      </c>
      <c r="C17" s="14">
        <f>'Ratio Analysis'!F8</f>
        <v>0.17300306799880488</v>
      </c>
      <c r="D17" s="14">
        <f>'Ratio Analysis'!F6</f>
        <v>8.9706868469695999E-2</v>
      </c>
      <c r="E17" s="14">
        <f>'Master Data (FY26)'!E6/'Master Data (FY26)'!E5</f>
        <v>0.41806655433866891</v>
      </c>
    </row>
    <row r="18" spans="1:5" x14ac:dyDescent="0.3">
      <c r="A18" s="3" t="s">
        <v>55</v>
      </c>
      <c r="B18" s="14">
        <f>'Ratio Analysis'!G13</f>
        <v>6.4380666332943995E-2</v>
      </c>
      <c r="C18" s="14">
        <f>'Ratio Analysis'!G8</f>
        <v>0.2082545258038368</v>
      </c>
      <c r="D18" s="14">
        <f>'Ratio Analysis'!G6</f>
        <v>3.8385249060202131E-3</v>
      </c>
      <c r="E18" s="14">
        <f>'Master Data (FY26)'!F6/'Master Data (FY26)'!F5</f>
        <v>0.37544599416153096</v>
      </c>
    </row>
    <row r="19" spans="1:5" x14ac:dyDescent="0.3">
      <c r="A19" s="3" t="s">
        <v>237</v>
      </c>
      <c r="B19" s="27">
        <f>MEDIAN(B14:B18)</f>
        <v>8.9980780881152356E-2</v>
      </c>
      <c r="C19" s="27">
        <f>MEDIAN(C14:C18)</f>
        <v>0.19229365675646667</v>
      </c>
      <c r="D19" s="27">
        <f>MEDIAN(D14:D18)</f>
        <v>8.9706868469695999E-2</v>
      </c>
      <c r="E19" s="27">
        <f>MEDIAN(E14:E18)</f>
        <v>0.41806655433866891</v>
      </c>
    </row>
    <row r="20" spans="1:5" x14ac:dyDescent="0.3">
      <c r="A20" s="9" t="s">
        <v>238</v>
      </c>
      <c r="B20" s="32">
        <v>0.25</v>
      </c>
    </row>
    <row r="21" spans="1:5" x14ac:dyDescent="0.3">
      <c r="A21" s="9" t="s">
        <v>239</v>
      </c>
      <c r="E21" s="18">
        <f>E19*(1-B20)</f>
        <v>0.31354991575400171</v>
      </c>
    </row>
    <row r="22" spans="1:5" x14ac:dyDescent="0.3">
      <c r="A22" s="9" t="s">
        <v>240</v>
      </c>
      <c r="E22" s="18">
        <f>E19*(1+B20)</f>
        <v>0.5225831929233361</v>
      </c>
    </row>
    <row r="23" spans="1:5" x14ac:dyDescent="0.3">
      <c r="A23" s="2"/>
    </row>
    <row r="25" spans="1:5" ht="52.8" x14ac:dyDescent="0.3">
      <c r="A25" s="7" t="s">
        <v>241</v>
      </c>
      <c r="B25" s="7" t="s">
        <v>242</v>
      </c>
      <c r="C25" s="7" t="s">
        <v>243</v>
      </c>
      <c r="D25" s="7" t="s">
        <v>244</v>
      </c>
    </row>
    <row r="26" spans="1:5" x14ac:dyDescent="0.3">
      <c r="A26" s="3" t="s">
        <v>47</v>
      </c>
      <c r="B26" s="14">
        <f>'Forward &amp; Historical Valuation'!B16*B5/'CCA Valuation'!B5-1</f>
        <v>0.18853010321297536</v>
      </c>
      <c r="C26" s="14">
        <f>'Forward &amp; Historical Valuation'!B16*N5/'CCA Valuation'!B5-1</f>
        <v>0.18853010321297536</v>
      </c>
      <c r="D26" s="14">
        <f>'Forward &amp; Historical Valuation'!B16*C5/'CCA Valuation'!B5-1</f>
        <v>1.3156137194465511E-2</v>
      </c>
    </row>
    <row r="27" spans="1:5" x14ac:dyDescent="0.3">
      <c r="A27" s="3" t="s">
        <v>49</v>
      </c>
      <c r="B27" s="14">
        <f>'Forward &amp; Historical Valuation'!B17*B6/'CCA Valuation'!B6-1</f>
        <v>0.15936082257271322</v>
      </c>
      <c r="C27" s="14">
        <f>'Forward &amp; Historical Valuation'!B17*N6/'CCA Valuation'!B6-1</f>
        <v>5.5351188140011498E-3</v>
      </c>
      <c r="D27" s="14">
        <f>'Forward &amp; Historical Valuation'!B17*C6/'CCA Valuation'!B6-1</f>
        <v>-0.14829058494471092</v>
      </c>
    </row>
    <row r="28" spans="1:5" x14ac:dyDescent="0.3">
      <c r="A28" s="3" t="s">
        <v>51</v>
      </c>
      <c r="B28" s="14">
        <f>'Forward &amp; Historical Valuation'!B18*B7/'CCA Valuation'!B7-1</f>
        <v>3.815544926187564E-2</v>
      </c>
      <c r="C28" s="14">
        <f>'Forward &amp; Historical Valuation'!B18*N7/'CCA Valuation'!B7-1</f>
        <v>0.49812864964888215</v>
      </c>
      <c r="D28" s="14">
        <f>'Forward &amp; Historical Valuation'!B18*C7/'CCA Valuation'!B7-1</f>
        <v>0.95810185003588866</v>
      </c>
    </row>
    <row r="29" spans="1:5" x14ac:dyDescent="0.3">
      <c r="A29" s="3" t="s">
        <v>53</v>
      </c>
      <c r="B29" s="14">
        <f>'Forward &amp; Historical Valuation'!B19*B8/'CCA Valuation'!B8-1</f>
        <v>0.20320550856935626</v>
      </c>
      <c r="C29" s="14">
        <f>'Forward &amp; Historical Valuation'!B19*N8/'CCA Valuation'!B8-1</f>
        <v>0.15748623153833763</v>
      </c>
      <c r="D29" s="14">
        <f>'Forward &amp; Historical Valuation'!B19*C8/'CCA Valuation'!B8-1</f>
        <v>2.0328400445281281E-2</v>
      </c>
    </row>
    <row r="30" spans="1:5" x14ac:dyDescent="0.3">
      <c r="A30" s="3" t="s">
        <v>55</v>
      </c>
      <c r="B30" s="14">
        <f>'Forward &amp; Historical Valuation'!B20*B9/'CCA Valuation'!B9-1</f>
        <v>9.9084770971922254E-2</v>
      </c>
      <c r="C30" s="14">
        <f>'Forward &amp; Historical Valuation'!B20*N9/'CCA Valuation'!B9-1</f>
        <v>0.33410329572557562</v>
      </c>
      <c r="D30" s="14">
        <f>'Forward &amp; Historical Valuation'!B20*C9/'CCA Valuation'!B9-1</f>
        <v>0.56912182047922877</v>
      </c>
    </row>
    <row r="32" spans="1:5" x14ac:dyDescent="0.3">
      <c r="A32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Normal="100" workbookViewId="0"/>
  </sheetViews>
  <sheetFormatPr defaultColWidth="8.6640625" defaultRowHeight="14.4" x14ac:dyDescent="0.3"/>
  <cols>
    <col min="1" max="1" width="22" customWidth="1"/>
    <col min="2" max="6" width="14" customWidth="1"/>
  </cols>
  <sheetData>
    <row r="1" spans="1:6" ht="17.399999999999999" x14ac:dyDescent="0.3">
      <c r="A1" s="1" t="s">
        <v>245</v>
      </c>
    </row>
    <row r="2" spans="1:6" x14ac:dyDescent="0.3">
      <c r="A2" s="2" t="s">
        <v>246</v>
      </c>
    </row>
    <row r="3" spans="1:6" x14ac:dyDescent="0.3">
      <c r="A3" s="7" t="s">
        <v>58</v>
      </c>
      <c r="B3" s="7" t="s">
        <v>47</v>
      </c>
      <c r="C3" s="7" t="s">
        <v>49</v>
      </c>
      <c r="D3" s="7" t="s">
        <v>51</v>
      </c>
      <c r="E3" s="7" t="s">
        <v>53</v>
      </c>
      <c r="F3" s="7" t="s">
        <v>55</v>
      </c>
    </row>
    <row r="4" spans="1:6" x14ac:dyDescent="0.3">
      <c r="A4" s="3" t="s">
        <v>60</v>
      </c>
      <c r="B4" s="17">
        <f>'Ratio Analysis'!C4</f>
        <v>88511.5</v>
      </c>
      <c r="C4" s="17">
        <f>'Ratio Analysis'!D4</f>
        <v>20943.47</v>
      </c>
      <c r="D4" s="17">
        <f>'Ratio Analysis'!E4</f>
        <v>40655.699999999997</v>
      </c>
      <c r="E4" s="17">
        <f>'Ratio Analysis'!F4</f>
        <v>13722.3</v>
      </c>
      <c r="F4" s="17">
        <f>'Ratio Analysis'!G4</f>
        <v>14804</v>
      </c>
    </row>
    <row r="5" spans="1:6" x14ac:dyDescent="0.3">
      <c r="A5" s="3" t="s">
        <v>76</v>
      </c>
      <c r="B5" s="14">
        <f>'Ratio Analysis'!C5</f>
        <v>0.16531345492271088</v>
      </c>
      <c r="C5" s="14">
        <f>'Ratio Analysis'!D5</f>
        <v>8.6120139004492557E-2</v>
      </c>
      <c r="D5" s="14">
        <f>'Ratio Analysis'!E5</f>
        <v>0.15053316127279515</v>
      </c>
      <c r="E5" s="14">
        <f>'Ratio Analysis'!F5</f>
        <v>0.15515840779853773</v>
      </c>
      <c r="F5" s="14">
        <f>'Ratio Analysis'!G5</f>
        <v>5.8941344778254745E-2</v>
      </c>
    </row>
    <row r="6" spans="1:6" x14ac:dyDescent="0.3">
      <c r="A6" s="3" t="s">
        <v>182</v>
      </c>
      <c r="B6" s="14">
        <f>'Ratio Analysis'!C6</f>
        <v>0.11725402042202138</v>
      </c>
      <c r="C6" s="14">
        <f>'Ratio Analysis'!D6</f>
        <v>1.3138433235987623E-2</v>
      </c>
      <c r="D6" s="14">
        <f>'Ratio Analysis'!E6</f>
        <v>0.10727649263256933</v>
      </c>
      <c r="E6" s="14">
        <f>'Ratio Analysis'!F6</f>
        <v>8.9706868469695999E-2</v>
      </c>
      <c r="F6" s="14">
        <f>'Ratio Analysis'!G6</f>
        <v>3.8385249060202131E-3</v>
      </c>
    </row>
    <row r="7" spans="1:6" x14ac:dyDescent="0.3">
      <c r="A7" s="3" t="s">
        <v>184</v>
      </c>
      <c r="B7" s="14">
        <f>'Ratio Analysis'!C8</f>
        <v>0.19229365675646667</v>
      </c>
      <c r="C7" s="14">
        <f>'Ratio Analysis'!D8</f>
        <v>0.22145327397990877</v>
      </c>
      <c r="D7" s="14">
        <f>'Ratio Analysis'!E8</f>
        <v>0.15678736314957067</v>
      </c>
      <c r="E7" s="14">
        <f>'Ratio Analysis'!F8</f>
        <v>0.17300306799880488</v>
      </c>
      <c r="F7" s="14">
        <f>'Ratio Analysis'!G8</f>
        <v>0.2082545258038368</v>
      </c>
    </row>
    <row r="8" spans="1:6" x14ac:dyDescent="0.3">
      <c r="A8" s="3" t="s">
        <v>186</v>
      </c>
      <c r="B8" s="14">
        <f>'Ratio Analysis'!C10</f>
        <v>9.2255130689232481E-2</v>
      </c>
      <c r="C8" s="14">
        <f>'Ratio Analysis'!D10</f>
        <v>8.3494282466086089E-2</v>
      </c>
      <c r="D8" s="14">
        <f>'Ratio Analysis'!E10</f>
        <v>0.11629857559948543</v>
      </c>
      <c r="E8" s="14">
        <f>'Ratio Analysis'!F10</f>
        <v>7.2326796528278794E-2</v>
      </c>
      <c r="F8" s="14">
        <f>'Ratio Analysis'!G10</f>
        <v>7.818832747905971E-2</v>
      </c>
    </row>
    <row r="9" spans="1:6" x14ac:dyDescent="0.3">
      <c r="A9" s="3" t="s">
        <v>192</v>
      </c>
      <c r="B9" s="14">
        <f>'Ratio Analysis'!C13</f>
        <v>0.11563616830914225</v>
      </c>
      <c r="C9" s="14">
        <f>'Ratio Analysis'!D13</f>
        <v>7.7677602832651696E-2</v>
      </c>
      <c r="D9" s="14">
        <f>'Ratio Analysis'!E13</f>
        <v>8.9980780881152356E-2</v>
      </c>
      <c r="E9" s="14">
        <f>'Ratio Analysis'!F13</f>
        <v>0.14258504782411027</v>
      </c>
      <c r="F9" s="14">
        <f>'Ratio Analysis'!G13</f>
        <v>6.4380666332943995E-2</v>
      </c>
    </row>
    <row r="10" spans="1:6" x14ac:dyDescent="0.3">
      <c r="A10" s="3" t="s">
        <v>79</v>
      </c>
      <c r="B10" s="29">
        <f>'Ratio Analysis'!C14</f>
        <v>0.33640336113280833</v>
      </c>
      <c r="C10" s="29">
        <f>'Ratio Analysis'!D14</f>
        <v>8.2978830699732012E-2</v>
      </c>
      <c r="D10" s="29">
        <f>'Ratio Analysis'!E14</f>
        <v>1.6480554173486303E-2</v>
      </c>
      <c r="E10" s="29">
        <f>'Ratio Analysis'!F14</f>
        <v>0.87</v>
      </c>
      <c r="F10" s="29">
        <f>'Ratio Analysis'!G14</f>
        <v>0.41314867345236111</v>
      </c>
    </row>
    <row r="11" spans="1:6" x14ac:dyDescent="0.3">
      <c r="A11" s="3" t="s">
        <v>188</v>
      </c>
      <c r="B11" s="28">
        <f>'Ratio Analysis'!C11</f>
        <v>39.033771878260609</v>
      </c>
      <c r="C11" s="28">
        <f>'Ratio Analysis'!D11</f>
        <v>45.205861914265782</v>
      </c>
      <c r="D11" s="28">
        <f>'Ratio Analysis'!E11</f>
        <v>20.729158154883589</v>
      </c>
      <c r="E11" s="28">
        <f>'Ratio Analysis'!F11</f>
        <v>39.162230390230633</v>
      </c>
      <c r="F11" s="28">
        <f>'Ratio Analysis'!G11</f>
        <v>27.386030237580997</v>
      </c>
    </row>
    <row r="12" spans="1:6" x14ac:dyDescent="0.3">
      <c r="A12" s="3" t="s">
        <v>190</v>
      </c>
      <c r="B12" s="28">
        <f>'Ratio Analysis'!C12</f>
        <v>4.5137158146552077</v>
      </c>
      <c r="C12" s="28">
        <f>'Ratio Analysis'!D12</f>
        <v>3.5114829874840332</v>
      </c>
      <c r="D12" s="28">
        <f>'Ratio Analysis'!E12</f>
        <v>1.8652258377853326</v>
      </c>
      <c r="E12" s="28">
        <f>'Ratio Analysis'!F12</f>
        <v>5.58394849308986</v>
      </c>
      <c r="F12" s="28">
        <f>'Ratio Analysis'!G12</f>
        <v>1.7631308749096168</v>
      </c>
    </row>
  </sheetData>
  <conditionalFormatting sqref="B5:F5">
    <cfRule type="expression" dxfId="15" priority="2">
      <formula>B5=MAX($B5:$F5)</formula>
    </cfRule>
    <cfRule type="expression" dxfId="14" priority="3">
      <formula>B5=MIN($B5:$F5)</formula>
    </cfRule>
  </conditionalFormatting>
  <conditionalFormatting sqref="B6:F6">
    <cfRule type="expression" dxfId="13" priority="4">
      <formula>B6=MAX($B6:$F6)</formula>
    </cfRule>
    <cfRule type="expression" dxfId="12" priority="5">
      <formula>B6=MIN($B6:$F6)</formula>
    </cfRule>
  </conditionalFormatting>
  <conditionalFormatting sqref="B7:F7">
    <cfRule type="expression" dxfId="11" priority="6">
      <formula>B7=MAX($B7:$F7)</formula>
    </cfRule>
    <cfRule type="expression" dxfId="10" priority="7">
      <formula>B7=MIN($B7:$F7)</formula>
    </cfRule>
  </conditionalFormatting>
  <conditionalFormatting sqref="B8:F8">
    <cfRule type="expression" dxfId="9" priority="8">
      <formula>B8=MAX($B8:$F8)</formula>
    </cfRule>
    <cfRule type="expression" dxfId="8" priority="9">
      <formula>B8=MIN($B8:$F8)</formula>
    </cfRule>
  </conditionalFormatting>
  <conditionalFormatting sqref="B9:F9">
    <cfRule type="expression" dxfId="7" priority="10">
      <formula>B9=MAX($B9:$F9)</formula>
    </cfRule>
    <cfRule type="expression" dxfId="6" priority="11">
      <formula>B9=MIN($B9:$F9)</formula>
    </cfRule>
  </conditionalFormatting>
  <conditionalFormatting sqref="B10:F10">
    <cfRule type="expression" dxfId="5" priority="12">
      <formula>B10=MIN($B10:$F10)</formula>
    </cfRule>
    <cfRule type="expression" dxfId="4" priority="13">
      <formula>B10=MAX($B10:$F10)</formula>
    </cfRule>
  </conditionalFormatting>
  <conditionalFormatting sqref="B11:F11">
    <cfRule type="expression" dxfId="3" priority="14">
      <formula>B11=MIN($B11:$F11)</formula>
    </cfRule>
    <cfRule type="expression" dxfId="2" priority="15">
      <formula>B11=MAX($B11:$F11)</formula>
    </cfRule>
  </conditionalFormatting>
  <conditionalFormatting sqref="B12:F12">
    <cfRule type="expression" dxfId="1" priority="16">
      <formula>B12=MIN($B12:$F12)</formula>
    </cfRule>
    <cfRule type="expression" dxfId="0" priority="17">
      <formula>B12=MAX($B12:$F12)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14" customWidth="1"/>
    <col min="3" max="3" width="16" customWidth="1"/>
    <col min="4" max="4" width="36" customWidth="1"/>
    <col min="5" max="6" width="34" customWidth="1"/>
    <col min="7" max="7" width="28" customWidth="1"/>
    <col min="8" max="8" width="26" customWidth="1"/>
    <col min="9" max="9" width="28" customWidth="1"/>
  </cols>
  <sheetData>
    <row r="1" spans="1:9" ht="17.399999999999999" x14ac:dyDescent="0.3">
      <c r="A1" s="1" t="s">
        <v>247</v>
      </c>
    </row>
    <row r="3" spans="1:9" ht="39.6" x14ac:dyDescent="0.3">
      <c r="A3" s="7" t="s">
        <v>45</v>
      </c>
      <c r="B3" s="7" t="s">
        <v>248</v>
      </c>
      <c r="C3" s="7" t="s">
        <v>249</v>
      </c>
      <c r="D3" s="7" t="s">
        <v>250</v>
      </c>
      <c r="E3" s="7" t="s">
        <v>251</v>
      </c>
      <c r="F3" s="7" t="s">
        <v>252</v>
      </c>
      <c r="G3" s="7" t="s">
        <v>253</v>
      </c>
      <c r="H3" s="7" t="s">
        <v>254</v>
      </c>
      <c r="I3" s="7" t="s">
        <v>255</v>
      </c>
    </row>
    <row r="4" spans="1:9" ht="61.5" customHeight="1" x14ac:dyDescent="0.3">
      <c r="A4" s="4" t="s">
        <v>47</v>
      </c>
      <c r="B4" s="5">
        <v>5</v>
      </c>
      <c r="C4" s="5">
        <v>4</v>
      </c>
      <c r="D4" s="4" t="s">
        <v>256</v>
      </c>
      <c r="E4" s="4" t="s">
        <v>257</v>
      </c>
      <c r="F4" s="4" t="s">
        <v>258</v>
      </c>
      <c r="G4" s="6" t="str">
        <f>"EBITDA margin below ~"&amp;TEXT(0.18,"0.0%")&amp;" (FY26: "&amp;TEXT('Ratio Analysis'!C8,"0.0%")&amp;")"</f>
        <v>EBITDA margin below ~18.0% (FY26: 19.2%)</v>
      </c>
      <c r="H4" s="6" t="str">
        <f>"Revenue growth below ~"&amp;TEXT(0.09,"0%")&amp;" (FY26: "&amp;TEXT('Ratio Analysis'!C5,"0.0%")&amp;")"</f>
        <v>Revenue growth below ~9% (FY26: 16.5%)</v>
      </c>
      <c r="I4" s="4" t="s">
        <v>259</v>
      </c>
    </row>
    <row r="5" spans="1:9" ht="61.5" customHeight="1" x14ac:dyDescent="0.3">
      <c r="A5" s="4" t="s">
        <v>49</v>
      </c>
      <c r="B5" s="5">
        <v>3</v>
      </c>
      <c r="C5" s="5">
        <v>5</v>
      </c>
      <c r="D5" s="4" t="s">
        <v>260</v>
      </c>
      <c r="E5" s="4" t="s">
        <v>261</v>
      </c>
      <c r="F5" s="4" t="s">
        <v>262</v>
      </c>
      <c r="G5" s="6" t="str">
        <f>"EBITDA margin below ~"&amp;TEXT(0.21,"0.0%")&amp;" (FY26: "&amp;TEXT('Ratio Analysis'!D8,"0.0%")&amp;")"</f>
        <v>EBITDA margin below ~21.0% (FY26: 22.1%)</v>
      </c>
      <c r="H5" s="6" t="str">
        <f>"Revenue growth below ~"&amp;TEXT(0.05,"0%")&amp;" (FY26: "&amp;TEXT('Ratio Analysis'!D5,"0.0%")&amp;")"</f>
        <v>Revenue growth below ~5% (FY26: 8.6%)</v>
      </c>
      <c r="I5" s="4" t="s">
        <v>263</v>
      </c>
    </row>
    <row r="6" spans="1:9" ht="61.5" customHeight="1" x14ac:dyDescent="0.3">
      <c r="A6" s="4" t="s">
        <v>51</v>
      </c>
      <c r="B6" s="5">
        <v>4</v>
      </c>
      <c r="C6" s="5">
        <v>3</v>
      </c>
      <c r="D6" s="4" t="s">
        <v>264</v>
      </c>
      <c r="E6" s="4" t="s">
        <v>265</v>
      </c>
      <c r="F6" s="4" t="s">
        <v>266</v>
      </c>
      <c r="G6" s="6" t="str">
        <f>"EBITDA margin below ~"&amp;TEXT(0.145,"0.0%")&amp;" (FY26: "&amp;TEXT('Ratio Analysis'!E8,"0.0%")&amp;")"</f>
        <v>EBITDA margin below ~14.5% (FY26: 15.7%)</v>
      </c>
      <c r="H6" s="6" t="str">
        <f>"Revenue growth below ~"&amp;TEXT(0.1,"0%")&amp;" (FY26: "&amp;TEXT('Ratio Analysis'!E5,"0.0%")&amp;")"</f>
        <v>Revenue growth below ~10% (FY26: 15.1%)</v>
      </c>
      <c r="I6" s="4" t="s">
        <v>267</v>
      </c>
    </row>
    <row r="7" spans="1:9" ht="61.5" customHeight="1" x14ac:dyDescent="0.3">
      <c r="A7" s="4" t="s">
        <v>53</v>
      </c>
      <c r="B7" s="5">
        <v>4</v>
      </c>
      <c r="C7" s="5">
        <v>2</v>
      </c>
      <c r="D7" s="4" t="s">
        <v>268</v>
      </c>
      <c r="E7" s="4" t="s">
        <v>269</v>
      </c>
      <c r="F7" s="4" t="s">
        <v>270</v>
      </c>
      <c r="G7" s="6" t="str">
        <f>"EBITDA margin below ~"&amp;TEXT(0.16,"0.0%")&amp;" (FY26: "&amp;TEXT('Ratio Analysis'!F8,"0.0%")&amp;")"</f>
        <v>EBITDA margin below ~16.0% (FY26: 17.3%)</v>
      </c>
      <c r="H7" s="6" t="str">
        <f>"Revenue growth below ~"&amp;TEXT(0.1,"0%")&amp;" (FY26: "&amp;TEXT('Ratio Analysis'!F5,"0.0%")&amp;")"</f>
        <v>Revenue growth below ~10% (FY26: 15.5%)</v>
      </c>
      <c r="I7" s="4" t="s">
        <v>271</v>
      </c>
    </row>
    <row r="8" spans="1:9" ht="61.5" customHeight="1" x14ac:dyDescent="0.3">
      <c r="A8" s="4" t="s">
        <v>55</v>
      </c>
      <c r="B8" s="5">
        <v>3</v>
      </c>
      <c r="C8" s="5">
        <v>4</v>
      </c>
      <c r="D8" s="4" t="s">
        <v>272</v>
      </c>
      <c r="E8" s="4" t="s">
        <v>273</v>
      </c>
      <c r="F8" s="4" t="s">
        <v>274</v>
      </c>
      <c r="G8" s="6" t="str">
        <f>"EBITDA margin below ~"&amp;TEXT(0.18,"0.0%")&amp;" (FY26: "&amp;TEXT('Ratio Analysis'!G8,"0.0%")&amp;")"</f>
        <v>EBITDA margin below ~18.0% (FY26: 20.8%)</v>
      </c>
      <c r="H8" s="6" t="str">
        <f>"Revenue growth below ~"&amp;TEXT(0.04,"0%")&amp;" (FY26: "&amp;TEXT('Ratio Analysis'!G5,"0.0%")&amp;")"</f>
        <v>Revenue growth below ~4% (FY26: 5.9%)</v>
      </c>
      <c r="I8" s="4" t="s">
        <v>275</v>
      </c>
    </row>
    <row r="10" spans="1:9" x14ac:dyDescent="0.3">
      <c r="A10" s="2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zoomScaleNormal="100" workbookViewId="0"/>
  </sheetViews>
  <sheetFormatPr defaultColWidth="8.6640625" defaultRowHeight="14.4" x14ac:dyDescent="0.3"/>
  <cols>
    <col min="1" max="1" width="42" customWidth="1"/>
    <col min="2" max="2" width="14" customWidth="1"/>
    <col min="3" max="3" width="22" customWidth="1"/>
    <col min="4" max="5" width="16" customWidth="1"/>
    <col min="6" max="6" width="12" customWidth="1"/>
    <col min="7" max="7" width="14" customWidth="1"/>
    <col min="8" max="8" width="95" customWidth="1"/>
  </cols>
  <sheetData>
    <row r="1" spans="1:8" ht="17.399999999999999" x14ac:dyDescent="0.3">
      <c r="A1" s="1" t="s">
        <v>277</v>
      </c>
    </row>
    <row r="2" spans="1:8" x14ac:dyDescent="0.3">
      <c r="A2" s="2" t="s">
        <v>278</v>
      </c>
    </row>
    <row r="3" spans="1:8" x14ac:dyDescent="0.3">
      <c r="A3" s="3" t="s">
        <v>279</v>
      </c>
    </row>
    <row r="4" spans="1:8" x14ac:dyDescent="0.3">
      <c r="A4" s="7" t="s">
        <v>280</v>
      </c>
      <c r="B4" s="7" t="s">
        <v>101</v>
      </c>
      <c r="C4" s="7" t="s">
        <v>281</v>
      </c>
    </row>
    <row r="5" spans="1:8" x14ac:dyDescent="0.3">
      <c r="A5" s="3" t="s">
        <v>137</v>
      </c>
      <c r="B5" s="14">
        <f>'Macro &amp; Sector Data'!D21</f>
        <v>0.27</v>
      </c>
      <c r="C5" s="9" t="s">
        <v>282</v>
      </c>
    </row>
    <row r="6" spans="1:8" x14ac:dyDescent="0.3">
      <c r="A6" s="3" t="s">
        <v>283</v>
      </c>
      <c r="B6" s="14">
        <f>'Macro &amp; Sector Data'!D22</f>
        <v>0.52500000000000002</v>
      </c>
      <c r="C6" s="9" t="s">
        <v>284</v>
      </c>
    </row>
    <row r="7" spans="1:8" x14ac:dyDescent="0.3">
      <c r="A7" s="3" t="s">
        <v>285</v>
      </c>
      <c r="B7" s="14">
        <f>'Macro &amp; Sector Data'!D23</f>
        <v>0.55000000000000004</v>
      </c>
      <c r="C7" s="9" t="s">
        <v>286</v>
      </c>
    </row>
    <row r="8" spans="1:8" x14ac:dyDescent="0.3">
      <c r="A8" s="3" t="s">
        <v>145</v>
      </c>
      <c r="B8" s="14">
        <f>'Macro &amp; Sector Data'!D24</f>
        <v>0.11</v>
      </c>
      <c r="C8" s="9" t="s">
        <v>287</v>
      </c>
    </row>
    <row r="9" spans="1:8" x14ac:dyDescent="0.3">
      <c r="A9" s="3" t="s">
        <v>148</v>
      </c>
      <c r="B9" s="14">
        <f>'Macro &amp; Sector Data'!D26</f>
        <v>0.05</v>
      </c>
      <c r="C9" s="9" t="s">
        <v>288</v>
      </c>
    </row>
    <row r="10" spans="1:8" x14ac:dyDescent="0.3">
      <c r="A10" s="3" t="s">
        <v>153</v>
      </c>
      <c r="B10" s="14">
        <f>'Macro &amp; Sector Data'!D37</f>
        <v>0</v>
      </c>
      <c r="C10" s="9" t="s">
        <v>289</v>
      </c>
    </row>
    <row r="13" spans="1:8" x14ac:dyDescent="0.3">
      <c r="A13" s="3" t="s">
        <v>290</v>
      </c>
    </row>
    <row r="14" spans="1:8" ht="43.5" customHeight="1" x14ac:dyDescent="0.3">
      <c r="A14" s="7" t="s">
        <v>45</v>
      </c>
      <c r="B14" s="7" t="s">
        <v>291</v>
      </c>
      <c r="C14" s="7" t="s">
        <v>292</v>
      </c>
      <c r="D14" s="7" t="s">
        <v>293</v>
      </c>
      <c r="E14" s="7" t="s">
        <v>294</v>
      </c>
      <c r="F14" s="7" t="s">
        <v>295</v>
      </c>
      <c r="G14" s="7" t="s">
        <v>296</v>
      </c>
      <c r="H14" s="7" t="s">
        <v>297</v>
      </c>
    </row>
    <row r="15" spans="1:8" ht="30" customHeight="1" x14ac:dyDescent="0.3">
      <c r="A15" s="3" t="s">
        <v>47</v>
      </c>
      <c r="B15" s="33">
        <v>3</v>
      </c>
      <c r="C15" s="33">
        <v>1</v>
      </c>
      <c r="D15" s="33">
        <v>3</v>
      </c>
      <c r="E15" s="34">
        <f>IF('Ratio Analysis'!C14&lt;$B$23,1,IF('Ratio Analysis'!C14&lt;$B$24,2,IF('Ratio Analysis'!C14&lt;$B$25,3,IF('Ratio Analysis'!C14&lt;$B$26,4,5))))</f>
        <v>3</v>
      </c>
      <c r="F15" s="16">
        <f>AVERAGE(B15:E15)</f>
        <v>2.5</v>
      </c>
      <c r="G15" s="25">
        <f>RANK(F15,$F$15:$F$19,1)</f>
        <v>3</v>
      </c>
      <c r="H15" s="4" t="s">
        <v>298</v>
      </c>
    </row>
    <row r="16" spans="1:8" ht="30" customHeight="1" x14ac:dyDescent="0.3">
      <c r="A16" s="3" t="s">
        <v>49</v>
      </c>
      <c r="B16" s="33">
        <v>2</v>
      </c>
      <c r="C16" s="33">
        <v>3</v>
      </c>
      <c r="D16" s="33">
        <v>3</v>
      </c>
      <c r="E16" s="34">
        <f>IF('Ratio Analysis'!D14&lt;$B$23,1,IF('Ratio Analysis'!D14&lt;$B$24,2,IF('Ratio Analysis'!D14&lt;$B$25,3,IF('Ratio Analysis'!D14&lt;$B$26,4,5))))</f>
        <v>1</v>
      </c>
      <c r="F16" s="16">
        <f>AVERAGE(B16:E16)</f>
        <v>2.25</v>
      </c>
      <c r="G16" s="25">
        <f>RANK(F16,$F$15:$F$19,1)</f>
        <v>1</v>
      </c>
      <c r="H16" s="4" t="s">
        <v>299</v>
      </c>
    </row>
    <row r="17" spans="1:8" ht="30" customHeight="1" x14ac:dyDescent="0.3">
      <c r="A17" s="3" t="s">
        <v>51</v>
      </c>
      <c r="B17" s="33">
        <v>3</v>
      </c>
      <c r="C17" s="33">
        <v>2</v>
      </c>
      <c r="D17" s="33">
        <v>3</v>
      </c>
      <c r="E17" s="34">
        <f>IF('Ratio Analysis'!E14&lt;$B$23,1,IF('Ratio Analysis'!E14&lt;$B$24,2,IF('Ratio Analysis'!E14&lt;$B$25,3,IF('Ratio Analysis'!E14&lt;$B$26,4,5))))</f>
        <v>1</v>
      </c>
      <c r="F17" s="16">
        <f>AVERAGE(B17:E17)</f>
        <v>2.25</v>
      </c>
      <c r="G17" s="25">
        <f>RANK(F17,$F$15:$F$19,1)</f>
        <v>1</v>
      </c>
      <c r="H17" s="4" t="s">
        <v>300</v>
      </c>
    </row>
    <row r="18" spans="1:8" ht="30" customHeight="1" x14ac:dyDescent="0.3">
      <c r="A18" s="3" t="s">
        <v>53</v>
      </c>
      <c r="B18" s="33">
        <v>3</v>
      </c>
      <c r="C18" s="33">
        <v>3</v>
      </c>
      <c r="D18" s="33">
        <v>3</v>
      </c>
      <c r="E18" s="34">
        <f>IF('Ratio Analysis'!F14&lt;$B$23,1,IF('Ratio Analysis'!F14&lt;$B$24,2,IF('Ratio Analysis'!F14&lt;$B$25,3,IF('Ratio Analysis'!F14&lt;$B$26,4,5))))</f>
        <v>4</v>
      </c>
      <c r="F18" s="16">
        <f>AVERAGE(B18:E18)</f>
        <v>3.25</v>
      </c>
      <c r="G18" s="25">
        <f>RANK(F18,$F$15:$F$19,1)</f>
        <v>4</v>
      </c>
      <c r="H18" s="4" t="s">
        <v>301</v>
      </c>
    </row>
    <row r="19" spans="1:8" ht="30" customHeight="1" x14ac:dyDescent="0.3">
      <c r="A19" s="3" t="s">
        <v>55</v>
      </c>
      <c r="B19" s="33">
        <v>3</v>
      </c>
      <c r="C19" s="33">
        <v>4</v>
      </c>
      <c r="D19" s="33">
        <v>3</v>
      </c>
      <c r="E19" s="34">
        <f>IF('Ratio Analysis'!G14&lt;$B$23,1,IF('Ratio Analysis'!G14&lt;$B$24,2,IF('Ratio Analysis'!G14&lt;$B$25,3,IF('Ratio Analysis'!G14&lt;$B$26,4,5))))</f>
        <v>3</v>
      </c>
      <c r="F19" s="16">
        <f>AVERAGE(B19:E19)</f>
        <v>3.25</v>
      </c>
      <c r="G19" s="25">
        <f>RANK(F19,$F$15:$F$19,1)</f>
        <v>4</v>
      </c>
      <c r="H19" s="4" t="s">
        <v>302</v>
      </c>
    </row>
    <row r="21" spans="1:8" x14ac:dyDescent="0.3">
      <c r="A21" s="3" t="s">
        <v>303</v>
      </c>
    </row>
    <row r="23" spans="1:8" x14ac:dyDescent="0.3">
      <c r="A23" s="9" t="s">
        <v>304</v>
      </c>
      <c r="B23" s="35">
        <v>0.1</v>
      </c>
    </row>
    <row r="24" spans="1:8" x14ac:dyDescent="0.3">
      <c r="A24" s="9" t="s">
        <v>305</v>
      </c>
      <c r="B24" s="35">
        <v>0.3</v>
      </c>
    </row>
    <row r="25" spans="1:8" x14ac:dyDescent="0.3">
      <c r="A25" s="9" t="s">
        <v>306</v>
      </c>
      <c r="B25" s="35">
        <v>0.6</v>
      </c>
    </row>
    <row r="26" spans="1:8" x14ac:dyDescent="0.3">
      <c r="A26" s="9" t="s">
        <v>307</v>
      </c>
      <c r="B26" s="35">
        <v>0.9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zoomScaleNormal="100" workbookViewId="0"/>
  </sheetViews>
  <sheetFormatPr defaultColWidth="8.6640625" defaultRowHeight="14.4" x14ac:dyDescent="0.3"/>
  <cols>
    <col min="1" max="1" width="20" customWidth="1"/>
    <col min="2" max="2" width="10" customWidth="1"/>
    <col min="3" max="7" width="13" customWidth="1"/>
    <col min="8" max="8" width="16" customWidth="1"/>
    <col min="10" max="14" width="13" customWidth="1"/>
  </cols>
  <sheetData>
    <row r="1" spans="1:14" ht="17.399999999999999" x14ac:dyDescent="0.3">
      <c r="A1" s="1" t="s">
        <v>308</v>
      </c>
    </row>
    <row r="2" spans="1:14" x14ac:dyDescent="0.3">
      <c r="J2" s="3" t="s">
        <v>309</v>
      </c>
    </row>
    <row r="3" spans="1:14" ht="26.4" x14ac:dyDescent="0.3">
      <c r="A3" s="7" t="s">
        <v>58</v>
      </c>
      <c r="B3" s="7" t="s">
        <v>310</v>
      </c>
      <c r="C3" s="7" t="s">
        <v>47</v>
      </c>
      <c r="D3" s="7" t="s">
        <v>49</v>
      </c>
      <c r="E3" s="7" t="s">
        <v>51</v>
      </c>
      <c r="F3" s="7" t="s">
        <v>53</v>
      </c>
      <c r="G3" s="7" t="s">
        <v>55</v>
      </c>
      <c r="H3" s="7" t="s">
        <v>311</v>
      </c>
      <c r="J3" s="7" t="s">
        <v>47</v>
      </c>
      <c r="K3" s="7" t="s">
        <v>49</v>
      </c>
      <c r="L3" s="7" t="s">
        <v>51</v>
      </c>
      <c r="M3" s="7" t="s">
        <v>53</v>
      </c>
      <c r="N3" s="7" t="s">
        <v>55</v>
      </c>
    </row>
    <row r="4" spans="1:14" x14ac:dyDescent="0.3">
      <c r="A4" s="3" t="s">
        <v>182</v>
      </c>
      <c r="B4" s="36">
        <v>0.2</v>
      </c>
      <c r="C4" s="14">
        <f>'Ratio Analysis'!C6</f>
        <v>0.11725402042202138</v>
      </c>
      <c r="D4" s="14">
        <f>'Ratio Analysis'!D6</f>
        <v>1.3138433235987623E-2</v>
      </c>
      <c r="E4" s="14">
        <f>'Ratio Analysis'!E6</f>
        <v>0.10727649263256933</v>
      </c>
      <c r="F4" s="14">
        <f>'Ratio Analysis'!F6</f>
        <v>8.9706868469695999E-2</v>
      </c>
      <c r="G4" s="14">
        <f>'Ratio Analysis'!G6</f>
        <v>3.8385249060202131E-3</v>
      </c>
      <c r="H4" s="9" t="s">
        <v>312</v>
      </c>
      <c r="J4" s="25">
        <f t="shared" ref="J4:N6" si="0">6-RANK(C4,$C4:$G4,0)</f>
        <v>5</v>
      </c>
      <c r="K4" s="25">
        <f t="shared" si="0"/>
        <v>2</v>
      </c>
      <c r="L4" s="25">
        <f t="shared" si="0"/>
        <v>4</v>
      </c>
      <c r="M4" s="25">
        <f t="shared" si="0"/>
        <v>3</v>
      </c>
      <c r="N4" s="25">
        <f t="shared" si="0"/>
        <v>1</v>
      </c>
    </row>
    <row r="5" spans="1:14" x14ac:dyDescent="0.3">
      <c r="A5" s="3" t="s">
        <v>184</v>
      </c>
      <c r="B5" s="36">
        <v>0.2</v>
      </c>
      <c r="C5" s="14">
        <f>'Ratio Analysis'!C8</f>
        <v>0.19229365675646667</v>
      </c>
      <c r="D5" s="14">
        <f>'Ratio Analysis'!D8</f>
        <v>0.22145327397990877</v>
      </c>
      <c r="E5" s="14">
        <f>'Ratio Analysis'!E8</f>
        <v>0.15678736314957067</v>
      </c>
      <c r="F5" s="14">
        <f>'Ratio Analysis'!F8</f>
        <v>0.17300306799880488</v>
      </c>
      <c r="G5" s="14">
        <f>'Ratio Analysis'!G8</f>
        <v>0.2082545258038368</v>
      </c>
      <c r="H5" s="9" t="s">
        <v>312</v>
      </c>
      <c r="J5" s="25">
        <f t="shared" si="0"/>
        <v>3</v>
      </c>
      <c r="K5" s="25">
        <f t="shared" si="0"/>
        <v>5</v>
      </c>
      <c r="L5" s="25">
        <f t="shared" si="0"/>
        <v>1</v>
      </c>
      <c r="M5" s="25">
        <f t="shared" si="0"/>
        <v>2</v>
      </c>
      <c r="N5" s="25">
        <f t="shared" si="0"/>
        <v>4</v>
      </c>
    </row>
    <row r="6" spans="1:14" x14ac:dyDescent="0.3">
      <c r="A6" s="3" t="s">
        <v>192</v>
      </c>
      <c r="B6" s="36">
        <v>0.15</v>
      </c>
      <c r="C6" s="14">
        <f>'Ratio Analysis'!C13</f>
        <v>0.11563616830914225</v>
      </c>
      <c r="D6" s="14">
        <f>'Ratio Analysis'!D13</f>
        <v>7.7677602832651696E-2</v>
      </c>
      <c r="E6" s="14">
        <f>'Ratio Analysis'!E13</f>
        <v>8.9980780881152356E-2</v>
      </c>
      <c r="F6" s="14">
        <f>'Ratio Analysis'!F13</f>
        <v>0.14258504782411027</v>
      </c>
      <c r="G6" s="14">
        <f>'Ratio Analysis'!G13</f>
        <v>6.4380666332943995E-2</v>
      </c>
      <c r="H6" s="9" t="s">
        <v>312</v>
      </c>
      <c r="J6" s="25">
        <f t="shared" si="0"/>
        <v>4</v>
      </c>
      <c r="K6" s="25">
        <f t="shared" si="0"/>
        <v>2</v>
      </c>
      <c r="L6" s="25">
        <f t="shared" si="0"/>
        <v>3</v>
      </c>
      <c r="M6" s="25">
        <f t="shared" si="0"/>
        <v>5</v>
      </c>
      <c r="N6" s="25">
        <f t="shared" si="0"/>
        <v>1</v>
      </c>
    </row>
    <row r="7" spans="1:14" x14ac:dyDescent="0.3">
      <c r="A7" s="3" t="s">
        <v>79</v>
      </c>
      <c r="B7" s="36">
        <v>0.15</v>
      </c>
      <c r="C7" s="29">
        <f>'Ratio Analysis'!C14</f>
        <v>0.33640336113280833</v>
      </c>
      <c r="D7" s="29">
        <f>'Ratio Analysis'!D14</f>
        <v>8.2978830699732012E-2</v>
      </c>
      <c r="E7" s="29">
        <f>'Ratio Analysis'!E14</f>
        <v>1.6480554173486303E-2</v>
      </c>
      <c r="F7" s="29">
        <f>'Ratio Analysis'!F14</f>
        <v>0.87</v>
      </c>
      <c r="G7" s="29">
        <f>'Ratio Analysis'!G14</f>
        <v>0.41314867345236111</v>
      </c>
      <c r="H7" s="9" t="s">
        <v>313</v>
      </c>
      <c r="J7" s="25">
        <f t="shared" ref="J7:N9" si="1">6-RANK(C7,$C7:$G7,1)</f>
        <v>3</v>
      </c>
      <c r="K7" s="25">
        <f t="shared" si="1"/>
        <v>4</v>
      </c>
      <c r="L7" s="25">
        <f t="shared" si="1"/>
        <v>5</v>
      </c>
      <c r="M7" s="25">
        <f t="shared" si="1"/>
        <v>1</v>
      </c>
      <c r="N7" s="25">
        <f t="shared" si="1"/>
        <v>2</v>
      </c>
    </row>
    <row r="8" spans="1:14" x14ac:dyDescent="0.3">
      <c r="A8" s="3" t="s">
        <v>188</v>
      </c>
      <c r="B8" s="36">
        <v>0.2</v>
      </c>
      <c r="C8" s="28">
        <f>'Ratio Analysis'!C11</f>
        <v>39.033771878260609</v>
      </c>
      <c r="D8" s="28">
        <f>'Ratio Analysis'!D11</f>
        <v>45.205861914265782</v>
      </c>
      <c r="E8" s="28">
        <f>'Ratio Analysis'!E11</f>
        <v>20.729158154883589</v>
      </c>
      <c r="F8" s="28">
        <f>'Ratio Analysis'!F11</f>
        <v>39.162230390230633</v>
      </c>
      <c r="G8" s="28">
        <f>'Ratio Analysis'!G11</f>
        <v>27.386030237580997</v>
      </c>
      <c r="H8" s="9" t="s">
        <v>313</v>
      </c>
      <c r="J8" s="25">
        <f t="shared" si="1"/>
        <v>3</v>
      </c>
      <c r="K8" s="25">
        <f t="shared" si="1"/>
        <v>1</v>
      </c>
      <c r="L8" s="25">
        <f t="shared" si="1"/>
        <v>5</v>
      </c>
      <c r="M8" s="25">
        <f t="shared" si="1"/>
        <v>2</v>
      </c>
      <c r="N8" s="25">
        <f t="shared" si="1"/>
        <v>4</v>
      </c>
    </row>
    <row r="9" spans="1:14" x14ac:dyDescent="0.3">
      <c r="A9" s="3" t="s">
        <v>190</v>
      </c>
      <c r="B9" s="36">
        <v>0.1</v>
      </c>
      <c r="C9" s="28">
        <f>'Ratio Analysis'!C12</f>
        <v>4.5137158146552077</v>
      </c>
      <c r="D9" s="28">
        <f>'Ratio Analysis'!D12</f>
        <v>3.5114829874840332</v>
      </c>
      <c r="E9" s="28">
        <f>'Ratio Analysis'!E12</f>
        <v>1.8652258377853326</v>
      </c>
      <c r="F9" s="28">
        <f>'Ratio Analysis'!F12</f>
        <v>5.58394849308986</v>
      </c>
      <c r="G9" s="28">
        <f>'Ratio Analysis'!G12</f>
        <v>1.7631308749096168</v>
      </c>
      <c r="H9" s="9" t="s">
        <v>313</v>
      </c>
      <c r="J9" s="25">
        <f t="shared" si="1"/>
        <v>2</v>
      </c>
      <c r="K9" s="25">
        <f t="shared" si="1"/>
        <v>3</v>
      </c>
      <c r="L9" s="25">
        <f t="shared" si="1"/>
        <v>4</v>
      </c>
      <c r="M9" s="25">
        <f t="shared" si="1"/>
        <v>1</v>
      </c>
      <c r="N9" s="25">
        <f t="shared" si="1"/>
        <v>5</v>
      </c>
    </row>
    <row r="10" spans="1:14" x14ac:dyDescent="0.3">
      <c r="A10" s="3" t="s">
        <v>314</v>
      </c>
      <c r="C10" s="37">
        <f>SUMPRODUCT($B$4:$B$9,J$4:J$9)</f>
        <v>3.4500000000000006</v>
      </c>
      <c r="D10" s="37">
        <f>SUMPRODUCT($B$4:$B$9,K$4:K$9)</f>
        <v>2.8</v>
      </c>
      <c r="E10" s="37">
        <f>SUMPRODUCT($B$4:$B$9,L$4:L$9)</f>
        <v>3.6</v>
      </c>
      <c r="F10" s="37">
        <f>SUMPRODUCT($B$4:$B$9,M$4:M$9)</f>
        <v>2.4</v>
      </c>
      <c r="G10" s="37">
        <f>SUMPRODUCT($B$4:$B$9,N$4:N$9)</f>
        <v>2.75</v>
      </c>
    </row>
    <row r="12" spans="1:14" x14ac:dyDescent="0.3">
      <c r="A12" s="9" t="s">
        <v>315</v>
      </c>
      <c r="B12" s="38">
        <f>SUM(B4:B9)</f>
        <v>1.0000000000000002</v>
      </c>
    </row>
    <row r="13" spans="1:14" x14ac:dyDescent="0.3">
      <c r="A13" s="9" t="s">
        <v>316</v>
      </c>
      <c r="B13" s="9" t="str">
        <f>INDEX(C3:G3,1,MATCH(MAX(C10:G10),C10:G10,0))</f>
        <v>Ambuja</v>
      </c>
    </row>
    <row r="14" spans="1:14" x14ac:dyDescent="0.3">
      <c r="A14" s="9" t="s">
        <v>317</v>
      </c>
      <c r="B14" s="9" t="str">
        <f>B13&amp;" | "&amp;TEXT(MAX(C10:G10),"0.00")&amp;" / 5.00"</f>
        <v>Ambuja | 3.60 / 5.00</v>
      </c>
    </row>
    <row r="15" spans="1:14" x14ac:dyDescent="0.3">
      <c r="A15" s="9" t="s">
        <v>318</v>
      </c>
      <c r="C15" s="25">
        <f>RANK(C10,$C$10:$G$10,0)</f>
        <v>2</v>
      </c>
      <c r="D15" s="25">
        <f>RANK(D10,$C$10:$G$10,0)</f>
        <v>3</v>
      </c>
      <c r="E15" s="25">
        <f>RANK(E10,$C$10:$G$10,0)</f>
        <v>1</v>
      </c>
      <c r="F15" s="25">
        <f>RANK(F10,$C$10:$G$10,0)</f>
        <v>5</v>
      </c>
      <c r="G15" s="25">
        <f>RANK(G10,$C$10:$G$10,0)</f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3" customWidth="1"/>
    <col min="3" max="4" width="14" customWidth="1"/>
    <col min="5" max="6" width="16" customWidth="1"/>
    <col min="7" max="8" width="22" customWidth="1"/>
  </cols>
  <sheetData>
    <row r="1" spans="1:8" ht="17.399999999999999" x14ac:dyDescent="0.3">
      <c r="A1" s="1" t="s">
        <v>319</v>
      </c>
    </row>
    <row r="2" spans="1:8" x14ac:dyDescent="0.3">
      <c r="A2" s="2" t="s">
        <v>320</v>
      </c>
    </row>
    <row r="4" spans="1:8" x14ac:dyDescent="0.3">
      <c r="A4" s="7" t="s">
        <v>58</v>
      </c>
      <c r="B4" s="7" t="s">
        <v>321</v>
      </c>
      <c r="C4" s="7" t="s">
        <v>322</v>
      </c>
      <c r="D4" s="7" t="s">
        <v>323</v>
      </c>
      <c r="E4" s="7" t="s">
        <v>324</v>
      </c>
      <c r="F4" s="7" t="s">
        <v>311</v>
      </c>
    </row>
    <row r="5" spans="1:8" x14ac:dyDescent="0.3">
      <c r="A5" s="3" t="s">
        <v>182</v>
      </c>
      <c r="B5" s="39">
        <f>'Investment Scorecard'!B4</f>
        <v>0.2</v>
      </c>
      <c r="C5" s="36">
        <v>0.35</v>
      </c>
      <c r="D5" s="36">
        <v>0.1</v>
      </c>
      <c r="E5" s="36">
        <v>0.1</v>
      </c>
      <c r="F5" s="9" t="s">
        <v>312</v>
      </c>
    </row>
    <row r="6" spans="1:8" x14ac:dyDescent="0.3">
      <c r="A6" s="3" t="s">
        <v>184</v>
      </c>
      <c r="B6" s="39">
        <f>'Investment Scorecard'!B5</f>
        <v>0.2</v>
      </c>
      <c r="C6" s="36">
        <v>0.15</v>
      </c>
      <c r="D6" s="36">
        <v>0.25</v>
      </c>
      <c r="E6" s="36">
        <v>0.15</v>
      </c>
      <c r="F6" s="9" t="s">
        <v>312</v>
      </c>
    </row>
    <row r="7" spans="1:8" x14ac:dyDescent="0.3">
      <c r="A7" s="3" t="s">
        <v>192</v>
      </c>
      <c r="B7" s="39">
        <f>'Investment Scorecard'!B6</f>
        <v>0.15</v>
      </c>
      <c r="C7" s="36">
        <v>0.1</v>
      </c>
      <c r="D7" s="36">
        <v>0.25</v>
      </c>
      <c r="E7" s="36">
        <v>0.1</v>
      </c>
      <c r="F7" s="9" t="s">
        <v>312</v>
      </c>
    </row>
    <row r="8" spans="1:8" x14ac:dyDescent="0.3">
      <c r="A8" s="3" t="s">
        <v>79</v>
      </c>
      <c r="B8" s="39">
        <f>'Investment Scorecard'!B7</f>
        <v>0.15</v>
      </c>
      <c r="C8" s="36">
        <v>0.1</v>
      </c>
      <c r="D8" s="36">
        <v>0.15</v>
      </c>
      <c r="E8" s="36">
        <v>0.1</v>
      </c>
      <c r="F8" s="9" t="s">
        <v>313</v>
      </c>
    </row>
    <row r="9" spans="1:8" x14ac:dyDescent="0.3">
      <c r="A9" s="3" t="s">
        <v>188</v>
      </c>
      <c r="B9" s="39">
        <f>'Investment Scorecard'!B8</f>
        <v>0.2</v>
      </c>
      <c r="C9" s="36">
        <v>0.2</v>
      </c>
      <c r="D9" s="36">
        <v>0.15</v>
      </c>
      <c r="E9" s="36">
        <v>0.35</v>
      </c>
      <c r="F9" s="9" t="s">
        <v>313</v>
      </c>
    </row>
    <row r="10" spans="1:8" x14ac:dyDescent="0.3">
      <c r="A10" s="3" t="s">
        <v>190</v>
      </c>
      <c r="B10" s="39">
        <f>'Investment Scorecard'!B9</f>
        <v>0.1</v>
      </c>
      <c r="C10" s="36">
        <v>0.1</v>
      </c>
      <c r="D10" s="36">
        <v>0.1</v>
      </c>
      <c r="E10" s="36">
        <v>0.2</v>
      </c>
      <c r="F10" s="9" t="s">
        <v>313</v>
      </c>
    </row>
    <row r="11" spans="1:8" x14ac:dyDescent="0.3">
      <c r="A11" s="3" t="s">
        <v>315</v>
      </c>
      <c r="B11" s="38">
        <f>SUM(B5:B10)</f>
        <v>1.0000000000000002</v>
      </c>
      <c r="C11" s="38">
        <f>SUM(C5:C10)</f>
        <v>0.99999999999999989</v>
      </c>
      <c r="D11" s="38">
        <f>SUM(D5:D10)</f>
        <v>1</v>
      </c>
      <c r="E11" s="38">
        <f>SUM(E5:E10)</f>
        <v>1</v>
      </c>
    </row>
    <row r="14" spans="1:8" ht="31.5" customHeight="1" x14ac:dyDescent="0.3">
      <c r="A14" s="7" t="s">
        <v>45</v>
      </c>
      <c r="B14" s="7" t="s">
        <v>321</v>
      </c>
      <c r="C14" s="7" t="s">
        <v>322</v>
      </c>
      <c r="D14" s="7" t="s">
        <v>323</v>
      </c>
      <c r="E14" s="7" t="s">
        <v>324</v>
      </c>
      <c r="F14" s="7" t="s">
        <v>325</v>
      </c>
      <c r="G14" s="7" t="s">
        <v>326</v>
      </c>
      <c r="H14" s="7" t="s">
        <v>327</v>
      </c>
    </row>
    <row r="15" spans="1:8" x14ac:dyDescent="0.3">
      <c r="A15" s="3" t="s">
        <v>47</v>
      </c>
      <c r="B15" s="29">
        <f>SUMPRODUCT($B$5:$B$10,'Investment Scorecard'!J4:J9)</f>
        <v>3.4500000000000006</v>
      </c>
      <c r="C15" s="29">
        <f>SUMPRODUCT($C$5:$C$10,'Investment Scorecard'!J4:J9)</f>
        <v>3.7000000000000006</v>
      </c>
      <c r="D15" s="29">
        <f>SUMPRODUCT($D$5:$D$10,'Investment Scorecard'!J4:J9)</f>
        <v>3.3500000000000005</v>
      </c>
      <c r="E15" s="29">
        <f>SUMPRODUCT($E$5:$E$10,'Investment Scorecard'!J4:J9)</f>
        <v>3.1</v>
      </c>
      <c r="F15" s="25">
        <f>RANK(B15,$B$15:$B$19,0)</f>
        <v>2</v>
      </c>
      <c r="G15" s="25">
        <f>MIN(RANK(B15,$B$15:$B$19,0),RANK(C15,$C$15:$C$19,0),RANK(D15,$D$15:$D$19,0),RANK(E15,$E$15:$E$19,0))</f>
        <v>1</v>
      </c>
      <c r="H15" s="25">
        <f>MAX(RANK(B15,$B$15:$B$19,0),RANK(C15,$C$15:$C$19,0),RANK(D15,$D$15:$D$19,0),RANK(E15,$E$15:$E$19,0))</f>
        <v>3</v>
      </c>
    </row>
    <row r="16" spans="1:8" x14ac:dyDescent="0.3">
      <c r="A16" s="3" t="s">
        <v>49</v>
      </c>
      <c r="B16" s="29">
        <f>SUMPRODUCT($B$5:$B$10,'Investment Scorecard'!K4:K9)</f>
        <v>2.8</v>
      </c>
      <c r="C16" s="29">
        <f>SUMPRODUCT($C$5:$C$10,'Investment Scorecard'!K4:K9)</f>
        <v>2.5499999999999998</v>
      </c>
      <c r="D16" s="29">
        <f>SUMPRODUCT($D$5:$D$10,'Investment Scorecard'!K4:K9)</f>
        <v>3</v>
      </c>
      <c r="E16" s="29">
        <f>SUMPRODUCT($E$5:$E$10,'Investment Scorecard'!K4:K9)</f>
        <v>2.5</v>
      </c>
      <c r="F16" s="25">
        <f>RANK(B16,$B$15:$B$19,0)</f>
        <v>3</v>
      </c>
      <c r="G16" s="25">
        <f>MIN(RANK(B16,$B$15:$B$19,0),RANK(C16,$C$15:$C$19,0),RANK(D16,$D$15:$D$19,0),RANK(E16,$E$15:$E$19,0))</f>
        <v>3</v>
      </c>
      <c r="H16" s="25">
        <f>MAX(RANK(B16,$B$15:$B$19,0),RANK(C16,$C$15:$C$19,0),RANK(D16,$D$15:$D$19,0),RANK(E16,$E$15:$E$19,0))</f>
        <v>4</v>
      </c>
    </row>
    <row r="17" spans="1:8" x14ac:dyDescent="0.3">
      <c r="A17" s="3" t="s">
        <v>51</v>
      </c>
      <c r="B17" s="29">
        <f>SUMPRODUCT($B$5:$B$10,'Investment Scorecard'!L4:L9)</f>
        <v>3.6</v>
      </c>
      <c r="C17" s="29">
        <f>SUMPRODUCT($C$5:$C$10,'Investment Scorecard'!L4:L9)</f>
        <v>3.7499999999999996</v>
      </c>
      <c r="D17" s="29">
        <f>SUMPRODUCT($D$5:$D$10,'Investment Scorecard'!L4:L9)</f>
        <v>3.3</v>
      </c>
      <c r="E17" s="29">
        <f>SUMPRODUCT($E$5:$E$10,'Investment Scorecard'!L4:L9)</f>
        <v>3.9000000000000004</v>
      </c>
      <c r="F17" s="25">
        <f>RANK(B17,$B$15:$B$19,0)</f>
        <v>1</v>
      </c>
      <c r="G17" s="25">
        <f>MIN(RANK(B17,$B$15:$B$19,0),RANK(C17,$C$15:$C$19,0),RANK(D17,$D$15:$D$19,0),RANK(E17,$E$15:$E$19,0))</f>
        <v>1</v>
      </c>
      <c r="H17" s="25">
        <f>MAX(RANK(B17,$B$15:$B$19,0),RANK(C17,$C$15:$C$19,0),RANK(D17,$D$15:$D$19,0),RANK(E17,$E$15:$E$19,0))</f>
        <v>2</v>
      </c>
    </row>
    <row r="18" spans="1:8" x14ac:dyDescent="0.3">
      <c r="A18" s="3" t="s">
        <v>53</v>
      </c>
      <c r="B18" s="29">
        <f>SUMPRODUCT($B$5:$B$10,'Investment Scorecard'!M4:M9)</f>
        <v>2.4</v>
      </c>
      <c r="C18" s="29">
        <f>SUMPRODUCT($C$5:$C$10,'Investment Scorecard'!M4:M9)</f>
        <v>2.4500000000000002</v>
      </c>
      <c r="D18" s="29">
        <f>SUMPRODUCT($D$5:$D$10,'Investment Scorecard'!M4:M9)</f>
        <v>2.5999999999999996</v>
      </c>
      <c r="E18" s="29">
        <f>SUMPRODUCT($E$5:$E$10,'Investment Scorecard'!M4:M9)</f>
        <v>2.1</v>
      </c>
      <c r="F18" s="25">
        <f>RANK(B18,$B$15:$B$19,0)</f>
        <v>5</v>
      </c>
      <c r="G18" s="25">
        <f>MIN(RANK(B18,$B$15:$B$19,0),RANK(C18,$C$15:$C$19,0),RANK(D18,$D$15:$D$19,0),RANK(E18,$E$15:$E$19,0))</f>
        <v>5</v>
      </c>
      <c r="H18" s="25">
        <f>MAX(RANK(B18,$B$15:$B$19,0),RANK(C18,$C$15:$C$19,0),RANK(D18,$D$15:$D$19,0),RANK(E18,$E$15:$E$19,0))</f>
        <v>5</v>
      </c>
    </row>
    <row r="19" spans="1:8" x14ac:dyDescent="0.3">
      <c r="A19" s="3" t="s">
        <v>55</v>
      </c>
      <c r="B19" s="29">
        <f>SUMPRODUCT($B$5:$B$10,'Investment Scorecard'!N4:N9)</f>
        <v>2.75</v>
      </c>
      <c r="C19" s="29">
        <f>SUMPRODUCT($C$5:$C$10,'Investment Scorecard'!N4:N9)</f>
        <v>2.5499999999999998</v>
      </c>
      <c r="D19" s="29">
        <f>SUMPRODUCT($D$5:$D$10,'Investment Scorecard'!N4:N9)</f>
        <v>2.75</v>
      </c>
      <c r="E19" s="29">
        <f>SUMPRODUCT($E$5:$E$10,'Investment Scorecard'!N4:N9)</f>
        <v>3.4</v>
      </c>
      <c r="F19" s="25">
        <f>RANK(B19,$B$15:$B$19,0)</f>
        <v>4</v>
      </c>
      <c r="G19" s="25">
        <f>MIN(RANK(B19,$B$15:$B$19,0),RANK(C19,$C$15:$C$19,0),RANK(D19,$D$15:$D$19,0),RANK(E19,$E$15:$E$19,0))</f>
        <v>2</v>
      </c>
      <c r="H19" s="25">
        <f>MAX(RANK(B19,$B$15:$B$19,0),RANK(C19,$C$15:$C$19,0),RANK(D19,$D$15:$D$19,0),RANK(E19,$E$15:$E$19,0))</f>
        <v>4</v>
      </c>
    </row>
    <row r="21" spans="1:8" x14ac:dyDescent="0.3">
      <c r="A21" s="3" t="s">
        <v>328</v>
      </c>
    </row>
    <row r="22" spans="1:8" x14ac:dyDescent="0.3">
      <c r="A22" s="9" t="s">
        <v>321</v>
      </c>
      <c r="B22" s="9" t="str">
        <f>INDEX($A$15:$A$19,MATCH(MAX(B15:B19),B15:B19,0))</f>
        <v>Ambuja</v>
      </c>
    </row>
    <row r="23" spans="1:8" x14ac:dyDescent="0.3">
      <c r="A23" s="9" t="s">
        <v>322</v>
      </c>
      <c r="B23" s="9" t="str">
        <f>INDEX($A$15:$A$19,MATCH(MAX(C15:C19),C15:C19,0))</f>
        <v>Ambuja</v>
      </c>
    </row>
    <row r="24" spans="1:8" x14ac:dyDescent="0.3">
      <c r="A24" s="9" t="s">
        <v>323</v>
      </c>
      <c r="B24" s="9" t="str">
        <f>INDEX($A$15:$A$19,MATCH(MAX(D15:D19),D15:D19,0))</f>
        <v>UltraTech</v>
      </c>
    </row>
    <row r="25" spans="1:8" x14ac:dyDescent="0.3">
      <c r="A25" s="9" t="s">
        <v>324</v>
      </c>
      <c r="B25" s="9" t="str">
        <f>INDEX($A$15:$A$19,MATCH(MAX(E15:E19),E15:E19,0))</f>
        <v>Ambuja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Normal="100" workbookViewId="0">
      <selection activeCell="A2" sqref="A2"/>
    </sheetView>
  </sheetViews>
  <sheetFormatPr defaultColWidth="8.6640625" defaultRowHeight="14.4" x14ac:dyDescent="0.3"/>
  <cols>
    <col min="1" max="1" width="18" customWidth="1"/>
    <col min="2" max="11" width="15" customWidth="1"/>
  </cols>
  <sheetData>
    <row r="1" spans="1:11" ht="17.399999999999999" x14ac:dyDescent="0.3">
      <c r="A1" s="1" t="s">
        <v>329</v>
      </c>
    </row>
    <row r="2" spans="1:11" x14ac:dyDescent="0.3">
      <c r="A2" s="2" t="s">
        <v>330</v>
      </c>
    </row>
    <row r="4" spans="1:11" ht="42" customHeight="1" x14ac:dyDescent="0.3">
      <c r="A4" s="7" t="s">
        <v>45</v>
      </c>
      <c r="B4" s="7" t="s">
        <v>331</v>
      </c>
      <c r="C4" s="7" t="s">
        <v>332</v>
      </c>
      <c r="D4" s="7" t="s">
        <v>333</v>
      </c>
      <c r="E4" s="7" t="s">
        <v>334</v>
      </c>
      <c r="F4" s="7" t="s">
        <v>335</v>
      </c>
      <c r="G4" s="7" t="s">
        <v>336</v>
      </c>
      <c r="H4" s="7" t="s">
        <v>337</v>
      </c>
    </row>
    <row r="5" spans="1:11" x14ac:dyDescent="0.3">
      <c r="A5" s="3" t="s">
        <v>47</v>
      </c>
      <c r="B5" s="14">
        <f>'Master Data (FY26)'!B14</f>
        <v>0.16531345492271088</v>
      </c>
      <c r="C5" s="32">
        <v>0.12</v>
      </c>
      <c r="D5" s="32">
        <v>0.1</v>
      </c>
      <c r="E5" s="32">
        <v>0.182</v>
      </c>
      <c r="F5" s="32">
        <v>0.188</v>
      </c>
      <c r="G5" s="32">
        <v>8.5000000000000006E-2</v>
      </c>
      <c r="H5" s="32">
        <v>8.8999999999999996E-2</v>
      </c>
    </row>
    <row r="6" spans="1:11" x14ac:dyDescent="0.3">
      <c r="A6" s="3" t="s">
        <v>49</v>
      </c>
      <c r="B6" s="14">
        <f>'Master Data (FY26)'!C14</f>
        <v>8.6120139004492557E-2</v>
      </c>
      <c r="C6" s="32">
        <v>0.1</v>
      </c>
      <c r="D6" s="32">
        <v>0.1</v>
      </c>
      <c r="E6" s="32">
        <v>0.21</v>
      </c>
      <c r="F6" s="32">
        <v>0.215</v>
      </c>
      <c r="G6" s="32">
        <v>7.5999999999999998E-2</v>
      </c>
      <c r="H6" s="32">
        <v>0.08</v>
      </c>
    </row>
    <row r="7" spans="1:11" x14ac:dyDescent="0.3">
      <c r="A7" s="3" t="s">
        <v>51</v>
      </c>
      <c r="B7" s="14">
        <f>'Master Data (FY26)'!D14</f>
        <v>0.15053316127279515</v>
      </c>
      <c r="C7" s="32">
        <v>0.12</v>
      </c>
      <c r="D7" s="32">
        <v>0.1</v>
      </c>
      <c r="E7" s="32">
        <v>0.14799999999999999</v>
      </c>
      <c r="F7" s="32">
        <v>0.155</v>
      </c>
      <c r="G7" s="32">
        <v>9.5000000000000001E-2</v>
      </c>
      <c r="H7" s="32">
        <v>9.8000000000000004E-2</v>
      </c>
    </row>
    <row r="8" spans="1:11" x14ac:dyDescent="0.3">
      <c r="A8" s="3" t="s">
        <v>53</v>
      </c>
      <c r="B8" s="14">
        <f>'Master Data (FY26)'!E14</f>
        <v>0.15515840779853773</v>
      </c>
      <c r="C8" s="32">
        <v>0.12</v>
      </c>
      <c r="D8" s="32">
        <v>0.11</v>
      </c>
      <c r="E8" s="32">
        <v>0.16300000000000001</v>
      </c>
      <c r="F8" s="32">
        <v>0.16900000000000001</v>
      </c>
      <c r="G8" s="32">
        <v>6.6000000000000003E-2</v>
      </c>
      <c r="H8" s="32">
        <v>7.0000000000000007E-2</v>
      </c>
    </row>
    <row r="9" spans="1:11" x14ac:dyDescent="0.3">
      <c r="A9" s="3" t="s">
        <v>55</v>
      </c>
      <c r="B9" s="14">
        <f>'Master Data (FY26)'!F14</f>
        <v>5.8941344778254745E-2</v>
      </c>
      <c r="C9" s="32">
        <v>0.09</v>
      </c>
      <c r="D9" s="32">
        <v>0.08</v>
      </c>
      <c r="E9" s="32">
        <v>0.19</v>
      </c>
      <c r="F9" s="32">
        <v>0.19500000000000001</v>
      </c>
      <c r="G9" s="32">
        <v>7.0000000000000007E-2</v>
      </c>
      <c r="H9" s="32">
        <v>7.2999999999999995E-2</v>
      </c>
    </row>
    <row r="11" spans="1:11" x14ac:dyDescent="0.3">
      <c r="A11" s="3" t="s">
        <v>338</v>
      </c>
    </row>
    <row r="12" spans="1:11" ht="42" customHeight="1" x14ac:dyDescent="0.3">
      <c r="A12" s="7" t="s">
        <v>45</v>
      </c>
      <c r="B12" s="7" t="s">
        <v>339</v>
      </c>
      <c r="C12" s="7" t="s">
        <v>340</v>
      </c>
      <c r="D12" s="7" t="s">
        <v>341</v>
      </c>
      <c r="E12" s="7" t="s">
        <v>342</v>
      </c>
      <c r="F12" s="7" t="s">
        <v>343</v>
      </c>
      <c r="G12" s="7" t="s">
        <v>344</v>
      </c>
      <c r="H12" s="7" t="s">
        <v>345</v>
      </c>
      <c r="I12" s="7" t="s">
        <v>346</v>
      </c>
      <c r="J12" s="7" t="s">
        <v>347</v>
      </c>
      <c r="K12" s="7" t="s">
        <v>348</v>
      </c>
    </row>
    <row r="13" spans="1:11" x14ac:dyDescent="0.3">
      <c r="A13" s="3" t="s">
        <v>47</v>
      </c>
      <c r="B13" s="17">
        <f>'Master Data (FY26)'!B4*(1+C5)</f>
        <v>99132.88</v>
      </c>
      <c r="C13" s="13">
        <f>B13*(1+D5)</f>
        <v>109046.16800000002</v>
      </c>
      <c r="D13" s="13">
        <f t="shared" ref="D13:E17" si="0">B13*E5</f>
        <v>18042.184160000001</v>
      </c>
      <c r="E13" s="13">
        <f t="shared" si="0"/>
        <v>20500.679584000005</v>
      </c>
      <c r="F13" s="13">
        <f t="shared" ref="F13:G17" si="1">B13*G5</f>
        <v>8426.2948000000015</v>
      </c>
      <c r="G13" s="13">
        <f t="shared" si="1"/>
        <v>9705.1089520000005</v>
      </c>
      <c r="H13" s="30">
        <f>F13/'CCA Valuation'!C5</f>
        <v>286.31650696568136</v>
      </c>
      <c r="I13" s="30">
        <f>G13/'CCA Valuation'!C5</f>
        <v>329.76924743459057</v>
      </c>
      <c r="J13" s="28">
        <f>'Master Data (FY26)'!B8/H13</f>
        <v>37.826320650447677</v>
      </c>
      <c r="K13" s="28">
        <f>'Master Data (FY26)'!B8/I13</f>
        <v>32.842055723064895</v>
      </c>
    </row>
    <row r="14" spans="1:11" x14ac:dyDescent="0.3">
      <c r="A14" s="3" t="s">
        <v>49</v>
      </c>
      <c r="B14" s="17">
        <f>'Master Data (FY26)'!C4*(1+C6)</f>
        <v>23037.817000000003</v>
      </c>
      <c r="C14" s="13">
        <f>B14*(1+D6)</f>
        <v>25341.598700000006</v>
      </c>
      <c r="D14" s="13">
        <f t="shared" si="0"/>
        <v>4837.94157</v>
      </c>
      <c r="E14" s="13">
        <f t="shared" si="0"/>
        <v>5448.4437205000013</v>
      </c>
      <c r="F14" s="13">
        <f t="shared" si="1"/>
        <v>1750.8740920000002</v>
      </c>
      <c r="G14" s="13">
        <f t="shared" si="1"/>
        <v>2027.3278960000005</v>
      </c>
      <c r="H14" s="30">
        <f>F14/'CCA Valuation'!C6</f>
        <v>485.26207477619806</v>
      </c>
      <c r="I14" s="30">
        <f>G14/'CCA Valuation'!C6</f>
        <v>561.88240237243997</v>
      </c>
      <c r="J14" s="28">
        <f>'Master Data (FY26)'!C8/H14</f>
        <v>45.148696217614713</v>
      </c>
      <c r="K14" s="28">
        <f>'Master Data (FY26)'!C8/I14</f>
        <v>38.992055824303606</v>
      </c>
    </row>
    <row r="15" spans="1:11" x14ac:dyDescent="0.3">
      <c r="A15" s="3" t="s">
        <v>51</v>
      </c>
      <c r="B15" s="17">
        <f>'Master Data (FY26)'!D4*(1+C7)</f>
        <v>45534.383999999998</v>
      </c>
      <c r="C15" s="13">
        <f>B15*(1+D7)</f>
        <v>50087.822400000005</v>
      </c>
      <c r="D15" s="13">
        <f t="shared" si="0"/>
        <v>6739.0888319999995</v>
      </c>
      <c r="E15" s="13">
        <f t="shared" si="0"/>
        <v>7763.6124720000007</v>
      </c>
      <c r="F15" s="13">
        <f t="shared" si="1"/>
        <v>4325.7664800000002</v>
      </c>
      <c r="G15" s="13">
        <f t="shared" si="1"/>
        <v>4908.6065952000008</v>
      </c>
      <c r="H15" s="30">
        <f>F15/'CCA Valuation'!C7</f>
        <v>16.95014183961851</v>
      </c>
      <c r="I15" s="30">
        <f>G15/'CCA Valuation'!C7</f>
        <v>19.233950424325005</v>
      </c>
      <c r="J15" s="28">
        <f>'Master Data (FY26)'!D8/H15</f>
        <v>22.657627507419352</v>
      </c>
      <c r="K15" s="28">
        <f>'Master Data (FY26)'!D8/I15</f>
        <v>19.967296968504993</v>
      </c>
    </row>
    <row r="16" spans="1:11" x14ac:dyDescent="0.3">
      <c r="A16" s="3" t="s">
        <v>53</v>
      </c>
      <c r="B16" s="17">
        <f>'Master Data (FY26)'!E4*(1+C8)</f>
        <v>15368.976000000001</v>
      </c>
      <c r="C16" s="13">
        <f>B16*(1+D8)</f>
        <v>17059.563360000004</v>
      </c>
      <c r="D16" s="13">
        <f t="shared" si="0"/>
        <v>2505.1430880000003</v>
      </c>
      <c r="E16" s="13">
        <f t="shared" si="0"/>
        <v>2883.066207840001</v>
      </c>
      <c r="F16" s="13">
        <f t="shared" si="1"/>
        <v>1014.3524160000001</v>
      </c>
      <c r="G16" s="13">
        <f t="shared" si="1"/>
        <v>1194.1694352000004</v>
      </c>
      <c r="H16" s="30">
        <f>F16/'CCA Valuation'!C8</f>
        <v>131.27716726199722</v>
      </c>
      <c r="I16" s="30">
        <f>G16/'CCA Valuation'!C8</f>
        <v>154.5490287311695</v>
      </c>
      <c r="J16" s="28">
        <f>'Master Data (FY26)'!E8/H16</f>
        <v>38.318163812605341</v>
      </c>
      <c r="K16" s="28">
        <f>'Master Data (FY26)'!E8/I16</f>
        <v>32.548247253950471</v>
      </c>
    </row>
    <row r="17" spans="1:11" x14ac:dyDescent="0.3">
      <c r="A17" s="3" t="s">
        <v>55</v>
      </c>
      <c r="B17" s="17">
        <f>'Master Data (FY26)'!F4*(1+C9)</f>
        <v>16136.36</v>
      </c>
      <c r="C17" s="13">
        <f>B17*(1+D9)</f>
        <v>17427.268800000002</v>
      </c>
      <c r="D17" s="13">
        <f t="shared" si="0"/>
        <v>3065.9084000000003</v>
      </c>
      <c r="E17" s="13">
        <f t="shared" si="0"/>
        <v>3398.3174160000003</v>
      </c>
      <c r="F17" s="13">
        <f t="shared" si="1"/>
        <v>1129.5452000000002</v>
      </c>
      <c r="G17" s="13">
        <f t="shared" si="1"/>
        <v>1272.1906223999999</v>
      </c>
      <c r="H17" s="30">
        <f>F17/'CCA Valuation'!C9</f>
        <v>60.219928560004277</v>
      </c>
      <c r="I17" s="30">
        <f>G17/'CCA Valuation'!C9</f>
        <v>67.824845252439076</v>
      </c>
      <c r="J17" s="28">
        <f>'Master Data (FY26)'!F8/H17</f>
        <v>28.06379948319022</v>
      </c>
      <c r="K17" s="28">
        <f>'Master Data (FY26)'!F8/I17</f>
        <v>24.917122828809184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zoomScaleNormal="100" workbookViewId="0"/>
  </sheetViews>
  <sheetFormatPr defaultColWidth="8.6640625" defaultRowHeight="14.4" x14ac:dyDescent="0.3"/>
  <cols>
    <col min="1" max="1" width="18" customWidth="1"/>
    <col min="2" max="7" width="17" customWidth="1"/>
    <col min="8" max="8" width="34" customWidth="1"/>
    <col min="9" max="11" width="17" customWidth="1"/>
  </cols>
  <sheetData>
    <row r="1" spans="1:11" ht="17.399999999999999" x14ac:dyDescent="0.3">
      <c r="A1" s="1" t="s">
        <v>349</v>
      </c>
    </row>
    <row r="4" spans="1:11" x14ac:dyDescent="0.3">
      <c r="A4" s="3" t="s">
        <v>350</v>
      </c>
    </row>
    <row r="5" spans="1:11" ht="42" customHeight="1" x14ac:dyDescent="0.3">
      <c r="A5" s="7" t="s">
        <v>45</v>
      </c>
      <c r="B5" s="7" t="s">
        <v>351</v>
      </c>
      <c r="C5" s="7" t="s">
        <v>352</v>
      </c>
      <c r="D5" s="7" t="s">
        <v>353</v>
      </c>
      <c r="E5" s="7" t="s">
        <v>354</v>
      </c>
      <c r="F5" s="7" t="s">
        <v>355</v>
      </c>
      <c r="G5" s="7" t="s">
        <v>356</v>
      </c>
      <c r="H5" s="7" t="s">
        <v>357</v>
      </c>
    </row>
    <row r="6" spans="1:11" x14ac:dyDescent="0.3">
      <c r="A6" s="3" t="s">
        <v>47</v>
      </c>
      <c r="B6" s="30">
        <f>IFERROR('Hist - UltraTech'!B8/'CCA Valuation'!C5,"N/A")</f>
        <v>238.02242609582061</v>
      </c>
      <c r="C6" s="30">
        <f>IFERROR('Hist - UltraTech'!C8/'CCA Valuation'!C5,"N/A")</f>
        <v>205.20217465171595</v>
      </c>
      <c r="D6" s="30">
        <f>IFERROR('Hist - UltraTech'!D8/'CCA Valuation'!C5,"N/A")</f>
        <v>277.45973496432214</v>
      </c>
      <c r="E6" s="28">
        <f>IFERROR('CCA Valuation'!B5/B6,"N/A")</f>
        <v>45.501174732334043</v>
      </c>
      <c r="F6" s="28">
        <f>IFERROR('CCA Valuation'!B5/C6,"N/A")</f>
        <v>52.778680432514768</v>
      </c>
      <c r="G6" s="28">
        <f>IFERROR('CCA Valuation'!B5/D6,"N/A")</f>
        <v>39.033771878260609</v>
      </c>
      <c r="H6" s="9" t="str">
        <f>IFERROR(IF(E6&gt;G6,"Multiple compressed as earnings grew","Earnings fell or multiple expanded"),"FY24 not sourced")</f>
        <v>Multiple compressed as earnings grew</v>
      </c>
    </row>
    <row r="7" spans="1:11" x14ac:dyDescent="0.3">
      <c r="A7" s="3" t="s">
        <v>49</v>
      </c>
      <c r="B7" s="30">
        <f>IFERROR('Hist - Shree'!B8/'CCA Valuation'!C6,"N/A")</f>
        <v>664.1057620354203</v>
      </c>
      <c r="C7" s="30">
        <f>IFERROR('Hist - Shree'!C8/'CCA Valuation'!C6,"N/A")</f>
        <v>311.46586846262574</v>
      </c>
      <c r="D7" s="30">
        <f>IFERROR('Hist - Shree'!D8/'CCA Valuation'!C6,"N/A")</f>
        <v>484.64842992156542</v>
      </c>
      <c r="E7" s="28">
        <f>IFERROR('CCA Valuation'!B6/B7,"N/A")</f>
        <v>32.990151949368993</v>
      </c>
      <c r="F7" s="28">
        <f>IFERROR('CCA Valuation'!B6/C7,"N/A")</f>
        <v>70.341415282968512</v>
      </c>
      <c r="G7" s="28">
        <f>IFERROR('CCA Valuation'!B6/D7,"N/A")</f>
        <v>45.205861914265775</v>
      </c>
      <c r="H7" s="9" t="str">
        <f>IFERROR(IF(E7&gt;G7,"Multiple compressed as earnings grew","Earnings fell or multiple expanded"),"FY24 not sourced")</f>
        <v>Earnings fell or multiple expanded</v>
      </c>
    </row>
    <row r="8" spans="1:11" x14ac:dyDescent="0.3">
      <c r="A8" s="3" t="s">
        <v>51</v>
      </c>
      <c r="B8" s="30">
        <f>IFERROR('Hist - Ambuja'!B8/'CCA Valuation'!C7,"N/A")</f>
        <v>14.002058855866114</v>
      </c>
      <c r="C8" s="30">
        <f>IFERROR('Hist - Ambuja'!C8/'CCA Valuation'!C7,"N/A")</f>
        <v>16.861325198040376</v>
      </c>
      <c r="D8" s="30">
        <f>IFERROR('Hist - Ambuja'!D8/'CCA Valuation'!C7,"N/A")</f>
        <v>18.52704278342927</v>
      </c>
      <c r="E8" s="28">
        <f>IFERROR('CCA Valuation'!B7/B8,"N/A")</f>
        <v>27.428109248312694</v>
      </c>
      <c r="F8" s="28">
        <f>IFERROR('CCA Valuation'!B7/C8,"N/A")</f>
        <v>22.776976037721774</v>
      </c>
      <c r="G8" s="28">
        <f>IFERROR('CCA Valuation'!B7/D8,"N/A")</f>
        <v>20.729158154883589</v>
      </c>
      <c r="H8" s="9" t="str">
        <f>IFERROR(IF(E8&gt;G8,"Multiple compressed as earnings grew","Earnings fell or multiple expanded"),"FY24 not sourced")</f>
        <v>Multiple compressed as earnings grew</v>
      </c>
    </row>
    <row r="9" spans="1:11" x14ac:dyDescent="0.3">
      <c r="A9" s="3" t="s">
        <v>53</v>
      </c>
      <c r="B9" s="30">
        <f>IFERROR('Hist - JK Cement'!B8/'CCA Valuation'!C8,"N/A")</f>
        <v>102.34896723093648</v>
      </c>
      <c r="C9" s="30">
        <f>IFERROR('Hist - JK Cement'!C8/'CCA Valuation'!C8,"N/A")</f>
        <v>111.44587668892686</v>
      </c>
      <c r="D9" s="30">
        <f>IFERROR('Hist - JK Cement'!D8/'CCA Valuation'!C8,"N/A")</f>
        <v>128.44774033234975</v>
      </c>
      <c r="E9" s="28">
        <f>IFERROR('CCA Valuation'!B8/B9,"N/A")</f>
        <v>49.148517431053449</v>
      </c>
      <c r="F9" s="28">
        <f>IFERROR('CCA Valuation'!B8/C9,"N/A")</f>
        <v>45.136708054626531</v>
      </c>
      <c r="G9" s="28">
        <f>IFERROR('CCA Valuation'!B8/D9,"N/A")</f>
        <v>39.162230390230633</v>
      </c>
      <c r="H9" s="9" t="str">
        <f>IFERROR(IF(E9&gt;G9,"Multiple compressed as earnings grew","Earnings fell or multiple expanded"),"FY24 not sourced")</f>
        <v>Multiple compressed as earnings grew</v>
      </c>
    </row>
    <row r="10" spans="1:11" x14ac:dyDescent="0.3">
      <c r="A10" s="3" t="s">
        <v>55</v>
      </c>
      <c r="B10" s="30">
        <f>IFERROR('Hist - Dalmia'!B8/'CCA Valuation'!C9,"N/A")</f>
        <v>45.476355493948923</v>
      </c>
      <c r="C10" s="30">
        <f>IFERROR('Hist - Dalmia'!C8/'CCA Valuation'!C9,"N/A")</f>
        <v>37.26608732739777</v>
      </c>
      <c r="D10" s="30">
        <f>IFERROR('Hist - Dalmia'!D8/'CCA Valuation'!C9,"N/A")</f>
        <v>61.710294823265976</v>
      </c>
      <c r="E10" s="28">
        <f>IFERROR('CCA Valuation'!B9/B10,"N/A")</f>
        <v>37.16216881594373</v>
      </c>
      <c r="F10" s="28">
        <f>IFERROR('CCA Valuation'!B9/C10,"N/A")</f>
        <v>45.349542203147358</v>
      </c>
      <c r="G10" s="28">
        <f>IFERROR('CCA Valuation'!B9/D10,"N/A")</f>
        <v>27.386030237580997</v>
      </c>
      <c r="H10" s="9" t="str">
        <f>IFERROR(IF(E10&gt;G10,"Multiple compressed as earnings grew","Earnings fell or multiple expanded"),"FY24 not sourced")</f>
        <v>Multiple compressed as earnings grew</v>
      </c>
    </row>
    <row r="14" spans="1:11" x14ac:dyDescent="0.3">
      <c r="A14" s="3" t="s">
        <v>358</v>
      </c>
    </row>
    <row r="15" spans="1:11" ht="42" customHeight="1" x14ac:dyDescent="0.3">
      <c r="A15" s="7" t="s">
        <v>45</v>
      </c>
      <c r="B15" s="7" t="s">
        <v>346</v>
      </c>
      <c r="C15" s="7" t="s">
        <v>359</v>
      </c>
      <c r="D15" s="7" t="s">
        <v>360</v>
      </c>
      <c r="E15" s="7" t="s">
        <v>361</v>
      </c>
      <c r="F15" s="7" t="s">
        <v>362</v>
      </c>
      <c r="G15" s="7" t="s">
        <v>363</v>
      </c>
      <c r="H15" s="7" t="s">
        <v>364</v>
      </c>
      <c r="I15" s="7" t="s">
        <v>365</v>
      </c>
      <c r="J15" s="7" t="s">
        <v>366</v>
      </c>
      <c r="K15" s="7" t="s">
        <v>367</v>
      </c>
    </row>
    <row r="16" spans="1:11" x14ac:dyDescent="0.3">
      <c r="A16" s="3" t="s">
        <v>47</v>
      </c>
      <c r="B16" s="30">
        <f>'FY27-28E Assumptions'!I13</f>
        <v>329.76924743459057</v>
      </c>
      <c r="C16" s="28">
        <f>'Valuation Justification'!N5*0.85</f>
        <v>33.178706096521516</v>
      </c>
      <c r="D16" s="28">
        <f>'Valuation Justification'!N5</f>
        <v>39.033771878260609</v>
      </c>
      <c r="E16" s="28">
        <f>'Valuation Justification'!N5*1.15</f>
        <v>44.888837659999695</v>
      </c>
      <c r="F16" s="13">
        <f>B16*C16</f>
        <v>10941.316940303363</v>
      </c>
      <c r="G16" s="13">
        <f>B16*D16</f>
        <v>12872.137576827487</v>
      </c>
      <c r="H16" s="13">
        <f>B16*E16</f>
        <v>14802.958213351607</v>
      </c>
      <c r="I16" s="14">
        <f>G16/'CCA Valuation'!B5-1</f>
        <v>0.18853010321297536</v>
      </c>
      <c r="J16" s="17">
        <f>B16*'Valuation Justification'!C5</f>
        <v>10972.784912657218</v>
      </c>
      <c r="K16" s="14">
        <f>J16/'CCA Valuation'!B5-1</f>
        <v>1.3156137194465511E-2</v>
      </c>
    </row>
    <row r="17" spans="1:11" x14ac:dyDescent="0.3">
      <c r="A17" s="3" t="s">
        <v>49</v>
      </c>
      <c r="B17" s="30">
        <f>'FY27-28E Assumptions'!I14</f>
        <v>561.88240237243997</v>
      </c>
      <c r="C17" s="28">
        <f>'Valuation Justification'!N6*0.85</f>
        <v>33.3266992631793</v>
      </c>
      <c r="D17" s="28">
        <f>'Valuation Justification'!N6</f>
        <v>39.207881486093292</v>
      </c>
      <c r="E17" s="28">
        <f>'Valuation Justification'!N6*1.15</f>
        <v>45.089063709007284</v>
      </c>
      <c r="F17" s="13">
        <f>B17*C17</f>
        <v>18725.685845139011</v>
      </c>
      <c r="G17" s="13">
        <f>B17*D17</f>
        <v>22030.218641340012</v>
      </c>
      <c r="H17" s="13">
        <f>B17*E17</f>
        <v>25334.75143754101</v>
      </c>
      <c r="I17" s="14">
        <f>G17/'CCA Valuation'!B6-1</f>
        <v>5.5351188140011498E-3</v>
      </c>
      <c r="J17" s="17">
        <f>B17*'Valuation Justification'!C6</f>
        <v>18660.058988975576</v>
      </c>
      <c r="K17" s="14">
        <f>J17/'CCA Valuation'!B6-1</f>
        <v>-0.14829058494471092</v>
      </c>
    </row>
    <row r="18" spans="1:11" x14ac:dyDescent="0.3">
      <c r="A18" s="3" t="s">
        <v>51</v>
      </c>
      <c r="B18" s="30">
        <f>'FY27-28E Assumptions'!I15</f>
        <v>19.233950424325005</v>
      </c>
      <c r="C18" s="28">
        <f>'Valuation Justification'!N7*0.85</f>
        <v>25.426542697879913</v>
      </c>
      <c r="D18" s="28">
        <f>'Valuation Justification'!N7</f>
        <v>29.913579644564606</v>
      </c>
      <c r="E18" s="28">
        <f>'Valuation Justification'!N7*1.15</f>
        <v>34.400616591249296</v>
      </c>
      <c r="F18" s="13">
        <f>B18*C18</f>
        <v>489.05286171300526</v>
      </c>
      <c r="G18" s="13">
        <f>B18*D18</f>
        <v>575.35630789765321</v>
      </c>
      <c r="H18" s="13">
        <f>B18*E18</f>
        <v>661.65975408230122</v>
      </c>
      <c r="I18" s="14">
        <f>G18/'CCA Valuation'!B7-1</f>
        <v>0.49812864964888215</v>
      </c>
      <c r="J18" s="17">
        <f>B18*'Valuation Justification'!C7</f>
        <v>752.00901550628305</v>
      </c>
      <c r="K18" s="14">
        <f>J18/'CCA Valuation'!B7-1</f>
        <v>0.95810185003588866</v>
      </c>
    </row>
    <row r="19" spans="1:11" x14ac:dyDescent="0.3">
      <c r="A19" s="3" t="s">
        <v>53</v>
      </c>
      <c r="B19" s="30">
        <f>'FY27-28E Assumptions'!I16</f>
        <v>154.5490287311695</v>
      </c>
      <c r="C19" s="28">
        <f>'Valuation Justification'!N8*0.85</f>
        <v>32.023025848580197</v>
      </c>
      <c r="D19" s="28">
        <f>'Valuation Justification'!N8</f>
        <v>37.674148057153175</v>
      </c>
      <c r="E19" s="28">
        <f>'Valuation Justification'!N8*1.15</f>
        <v>43.325270265726147</v>
      </c>
      <c r="F19" s="13">
        <f>B19*C19</f>
        <v>4949.1275419312042</v>
      </c>
      <c r="G19" s="13">
        <f>B19*D19</f>
        <v>5822.5029905072997</v>
      </c>
      <c r="H19" s="13">
        <f>B19*E19</f>
        <v>6695.8784390833935</v>
      </c>
      <c r="I19" s="14">
        <f>G19/'CCA Valuation'!B8-1</f>
        <v>0.15748623153833763</v>
      </c>
      <c r="J19" s="17">
        <f>B19*'Valuation Justification'!C8</f>
        <v>5132.5579527598984</v>
      </c>
      <c r="K19" s="14">
        <f>J19/'CCA Valuation'!B8-1</f>
        <v>2.0328400445281281E-2</v>
      </c>
    </row>
    <row r="20" spans="1:11" x14ac:dyDescent="0.3">
      <c r="A20" s="3" t="s">
        <v>55</v>
      </c>
      <c r="B20" s="30">
        <f>'FY27-28E Assumptions'!I17</f>
        <v>67.824845252439076</v>
      </c>
      <c r="C20" s="28">
        <f>'Valuation Justification'!N9*0.85</f>
        <v>28.255713333026311</v>
      </c>
      <c r="D20" s="28">
        <f>'Valuation Justification'!N9</f>
        <v>33.242015685913309</v>
      </c>
      <c r="E20" s="28">
        <f>'Valuation Justification'!N9*1.15</f>
        <v>38.228318038800303</v>
      </c>
      <c r="F20" s="13">
        <f>B20*C20</f>
        <v>1916.4393843097891</v>
      </c>
      <c r="G20" s="13">
        <f>B20*D20</f>
        <v>2254.6345697762226</v>
      </c>
      <c r="H20" s="13">
        <f>B20*E20</f>
        <v>2592.8297552426557</v>
      </c>
      <c r="I20" s="14">
        <f>G20/'CCA Valuation'!B9-1</f>
        <v>0.33410329572557562</v>
      </c>
      <c r="J20" s="17">
        <f>B20*'Valuation Justification'!C9</f>
        <v>2651.8158766098968</v>
      </c>
      <c r="K20" s="14">
        <f>J20/'CCA Valuation'!B9-1</f>
        <v>0.56912182047922877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zoomScaleNormal="100" workbookViewId="0">
      <selection activeCell="A28" sqref="A28"/>
    </sheetView>
  </sheetViews>
  <sheetFormatPr defaultColWidth="8.6640625" defaultRowHeight="14.4" x14ac:dyDescent="0.3"/>
  <cols>
    <col min="1" max="1" width="44" customWidth="1"/>
    <col min="2" max="2" width="12" customWidth="1"/>
    <col min="3" max="17" width="14" customWidth="1"/>
  </cols>
  <sheetData>
    <row r="1" spans="1:17" ht="17.399999999999999" x14ac:dyDescent="0.3">
      <c r="A1" s="1" t="s">
        <v>368</v>
      </c>
    </row>
    <row r="2" spans="1:17" x14ac:dyDescent="0.3">
      <c r="A2" s="2"/>
    </row>
    <row r="5" spans="1:17" ht="43.5" customHeight="1" x14ac:dyDescent="0.3">
      <c r="A5" s="7" t="s">
        <v>45</v>
      </c>
      <c r="B5" s="7" t="s">
        <v>369</v>
      </c>
      <c r="C5" s="7" t="s">
        <v>370</v>
      </c>
      <c r="D5" s="7" t="s">
        <v>371</v>
      </c>
      <c r="E5" s="7" t="s">
        <v>372</v>
      </c>
      <c r="F5" s="7" t="s">
        <v>295</v>
      </c>
      <c r="G5" s="7" t="s">
        <v>373</v>
      </c>
      <c r="H5" s="7" t="s">
        <v>374</v>
      </c>
      <c r="I5" s="7" t="s">
        <v>375</v>
      </c>
      <c r="J5" s="7" t="s">
        <v>376</v>
      </c>
      <c r="K5" s="7" t="s">
        <v>377</v>
      </c>
      <c r="L5" s="7" t="s">
        <v>378</v>
      </c>
      <c r="M5" s="7" t="s">
        <v>379</v>
      </c>
      <c r="N5" s="7" t="s">
        <v>380</v>
      </c>
      <c r="O5" s="7" t="s">
        <v>381</v>
      </c>
      <c r="P5" s="7" t="s">
        <v>164</v>
      </c>
      <c r="Q5" s="7" t="s">
        <v>382</v>
      </c>
    </row>
    <row r="6" spans="1:17" x14ac:dyDescent="0.3">
      <c r="A6" s="3" t="s">
        <v>47</v>
      </c>
      <c r="B6" s="34">
        <f>'Investment Scorecard'!C15</f>
        <v>2</v>
      </c>
      <c r="C6" s="14">
        <f>'Forward &amp; Historical Valuation'!I16</f>
        <v>0.18853010321297536</v>
      </c>
      <c r="D6" s="14">
        <f>'CCA Valuation'!K5</f>
        <v>0</v>
      </c>
      <c r="E6" s="40">
        <f>AVERAGE('Qualitative Analysis'!B4,'Qualitative Analysis'!C4)</f>
        <v>4.5</v>
      </c>
      <c r="F6" s="29">
        <f>'Cost &amp; Risk Assessment'!F15</f>
        <v>2.5</v>
      </c>
      <c r="G6" s="25" t="e">
        <f>IF(B6&lt;=#REF!,1,IF(B6&gt;=#REF!,-1,0))</f>
        <v>#REF!</v>
      </c>
      <c r="H6" s="25">
        <f>IF(C6&gt;=$B$16,1,IF(C6&lt;$B$17,-1,0))</f>
        <v>1</v>
      </c>
      <c r="I6" s="25">
        <f>IF(D6&gt;=$B$18,1,IF(D6&lt;=$B$19,-1,0))</f>
        <v>1</v>
      </c>
      <c r="J6" s="25">
        <f>IF(E6&gt;=$B$20,1,IF(E6&lt;$B$21,-1,0))</f>
        <v>1</v>
      </c>
      <c r="K6" s="25">
        <f>IF(F6&lt;=$B$22,1,IF(F6&gt;=$B$23,-1,0))</f>
        <v>-1</v>
      </c>
      <c r="L6" s="41" t="e">
        <f>SUM(G6:K6)</f>
        <v>#REF!</v>
      </c>
      <c r="M6" s="3" t="e">
        <f>IF(L6&gt;=$B$24,"OVERWEIGHT",IF(L6&lt;=$B$25,"UNDERWEIGHT","HOLD"))</f>
        <v>#REF!</v>
      </c>
      <c r="N6" s="14">
        <f>'FY27-28E Assumptions'!H13/'Forward &amp; Historical Valuation'!D6-1</f>
        <v>3.1920927202277127E-2</v>
      </c>
      <c r="O6" s="9" t="str">
        <f>IF(N6&gt;=$B$26,"Positive",IF(N6&lt;0,"Cautious","Neutral"))</f>
        <v>Positive</v>
      </c>
      <c r="P6" s="14">
        <f>'Capacity &amp; Efficiency'!J5</f>
        <v>0.19940029985007501</v>
      </c>
      <c r="Q6" s="9" t="str">
        <f>IF(P6&gt;=$B$27,"Positive",IF(P6&lt;$B$14,"Limited","Neutral"))</f>
        <v>Positive</v>
      </c>
    </row>
    <row r="7" spans="1:17" x14ac:dyDescent="0.3">
      <c r="A7" s="3" t="s">
        <v>49</v>
      </c>
      <c r="B7" s="34">
        <f>'Investment Scorecard'!D15</f>
        <v>3</v>
      </c>
      <c r="C7" s="14">
        <f>'Forward &amp; Historical Valuation'!I17</f>
        <v>5.5351188140011498E-3</v>
      </c>
      <c r="D7" s="14">
        <f>'CCA Valuation'!K6</f>
        <v>-8.926639034903372E-2</v>
      </c>
      <c r="E7" s="40">
        <f>AVERAGE('Qualitative Analysis'!B5,'Qualitative Analysis'!C5)</f>
        <v>4</v>
      </c>
      <c r="F7" s="29">
        <f>'Cost &amp; Risk Assessment'!F16</f>
        <v>2.25</v>
      </c>
      <c r="G7" s="25" t="e">
        <f>IF(B7&lt;=#REF!,1,IF(B7&gt;=#REF!,-1,0))</f>
        <v>#REF!</v>
      </c>
      <c r="H7" s="25">
        <f>IF(C7&gt;=$B$16,1,IF(C7&lt;$B$17,-1,0))</f>
        <v>1</v>
      </c>
      <c r="I7" s="25">
        <f>IF(D7&gt;=$B$18,1,IF(D7&lt;=$B$19,-1,0))</f>
        <v>-1</v>
      </c>
      <c r="J7" s="25">
        <f>IF(E7&gt;=$B$20,1,IF(E7&lt;$B$21,-1,0))</f>
        <v>1</v>
      </c>
      <c r="K7" s="25">
        <f>IF(F7&lt;=$B$22,1,IF(F7&gt;=$B$23,-1,0))</f>
        <v>-1</v>
      </c>
      <c r="L7" s="41" t="e">
        <f>SUM(G7:K7)</f>
        <v>#REF!</v>
      </c>
      <c r="M7" s="3" t="e">
        <f>IF(L7&gt;=$B$24,"OVERWEIGHT",IF(L7&lt;=$B$25,"UNDERWEIGHT","HOLD"))</f>
        <v>#REF!</v>
      </c>
      <c r="N7" s="14">
        <f>'FY27-28E Assumptions'!H14/'Forward &amp; Historical Valuation'!D7-1</f>
        <v>1.2661649491609861E-3</v>
      </c>
      <c r="O7" s="9" t="str">
        <f>IF(N7&gt;=$B$26,"Positive",IF(N7&lt;0,"Cautious","Neutral"))</f>
        <v>Positive</v>
      </c>
      <c r="P7" s="14">
        <f>'Capacity &amp; Efficiency'!J6</f>
        <v>0.15440115440115454</v>
      </c>
      <c r="Q7" s="9" t="str">
        <f>IF(P7&gt;=$B$27,"Positive",IF(P7&lt;$B$14,"Limited","Neutral"))</f>
        <v>Positive</v>
      </c>
    </row>
    <row r="8" spans="1:17" x14ac:dyDescent="0.3">
      <c r="A8" s="3" t="s">
        <v>51</v>
      </c>
      <c r="B8" s="34">
        <f>'Investment Scorecard'!E15</f>
        <v>1</v>
      </c>
      <c r="C8" s="14">
        <f>'Forward &amp; Historical Valuation'!I18</f>
        <v>0.49812864964888215</v>
      </c>
      <c r="D8" s="14">
        <f>'CCA Valuation'!K7</f>
        <v>0.50935070722625309</v>
      </c>
      <c r="E8" s="40">
        <f>AVERAGE('Qualitative Analysis'!B6,'Qualitative Analysis'!C6)</f>
        <v>3.5</v>
      </c>
      <c r="F8" s="29">
        <f>'Cost &amp; Risk Assessment'!F17</f>
        <v>2.25</v>
      </c>
      <c r="G8" s="25" t="e">
        <f>IF(B8&lt;=#REF!,1,IF(B8&gt;=#REF!,-1,0))</f>
        <v>#REF!</v>
      </c>
      <c r="H8" s="25">
        <f>IF(C8&gt;=$B$16,1,IF(C8&lt;$B$17,-1,0))</f>
        <v>1</v>
      </c>
      <c r="I8" s="25">
        <f>IF(D8&gt;=$B$18,1,IF(D8&lt;=$B$19,-1,0))</f>
        <v>1</v>
      </c>
      <c r="J8" s="25">
        <f>IF(E8&gt;=$B$20,1,IF(E8&lt;$B$21,-1,0))</f>
        <v>1</v>
      </c>
      <c r="K8" s="25">
        <f>IF(F8&lt;=$B$22,1,IF(F8&gt;=$B$23,-1,0))</f>
        <v>-1</v>
      </c>
      <c r="L8" s="41" t="e">
        <f>SUM(G8:K8)</f>
        <v>#REF!</v>
      </c>
      <c r="M8" s="3" t="e">
        <f>IF(L8&gt;=$B$24,"OVERWEIGHT",IF(L8&lt;=$B$25,"UNDERWEIGHT","HOLD"))</f>
        <v>#REF!</v>
      </c>
      <c r="N8" s="14">
        <f>'FY27-28E Assumptions'!H15/'Forward &amp; Historical Valuation'!D8-1</f>
        <v>-8.5113472357345232E-2</v>
      </c>
      <c r="O8" s="9" t="str">
        <f>IF(N8&gt;=$B$26,"Positive",IF(N8&lt;0,"Cautious","Neutral"))</f>
        <v>Cautious</v>
      </c>
      <c r="P8" s="14">
        <f>'Capacity &amp; Efficiency'!J7</f>
        <v>9.174311926605494E-2</v>
      </c>
      <c r="Q8" s="9" t="str">
        <f>IF(P8&gt;=$B$27,"Positive",IF(P8&lt;$B$14,"Limited","Neutral"))</f>
        <v>Positive</v>
      </c>
    </row>
    <row r="9" spans="1:17" x14ac:dyDescent="0.3">
      <c r="A9" s="3" t="s">
        <v>53</v>
      </c>
      <c r="B9" s="34">
        <f>'Investment Scorecard'!F15</f>
        <v>5</v>
      </c>
      <c r="C9" s="14">
        <f>'Forward &amp; Historical Valuation'!I19</f>
        <v>0.15748623153833763</v>
      </c>
      <c r="D9" s="14">
        <f>'CCA Valuation'!K8</f>
        <v>-8.3818539148440618E-2</v>
      </c>
      <c r="E9" s="40">
        <f>AVERAGE('Qualitative Analysis'!B7,'Qualitative Analysis'!C7)</f>
        <v>3</v>
      </c>
      <c r="F9" s="29">
        <f>'Cost &amp; Risk Assessment'!F18</f>
        <v>3.25</v>
      </c>
      <c r="G9" s="25" t="e">
        <f>IF(B9&lt;=#REF!,1,IF(B9&gt;=#REF!,-1,0))</f>
        <v>#REF!</v>
      </c>
      <c r="H9" s="25">
        <f>IF(C9&gt;=$B$16,1,IF(C9&lt;$B$17,-1,0))</f>
        <v>1</v>
      </c>
      <c r="I9" s="25">
        <f>IF(D9&gt;=$B$18,1,IF(D9&lt;=$B$19,-1,0))</f>
        <v>-1</v>
      </c>
      <c r="J9" s="25">
        <f>IF(E9&gt;=$B$20,1,IF(E9&lt;$B$21,-1,0))</f>
        <v>1</v>
      </c>
      <c r="K9" s="25">
        <f>IF(F9&lt;=$B$22,1,IF(F9&gt;=$B$23,-1,0))</f>
        <v>-1</v>
      </c>
      <c r="L9" s="41" t="e">
        <f>SUM(G9:K9)</f>
        <v>#REF!</v>
      </c>
      <c r="M9" s="3" t="e">
        <f>IF(L9&gt;=$B$24,"OVERWEIGHT",IF(L9&lt;=$B$25,"UNDERWEIGHT","HOLD"))</f>
        <v>#REF!</v>
      </c>
      <c r="N9" s="14">
        <f>'FY27-28E Assumptions'!H16/'Forward &amp; Historical Valuation'!D9-1</f>
        <v>2.2027845116827427E-2</v>
      </c>
      <c r="O9" s="9" t="str">
        <f>IF(N9&gt;=$B$26,"Positive",IF(N9&lt;0,"Cautious","Neutral"))</f>
        <v>Positive</v>
      </c>
      <c r="P9" s="14">
        <f>'Capacity &amp; Efficiency'!J8</f>
        <v>0.54990700557966532</v>
      </c>
      <c r="Q9" s="9" t="str">
        <f>IF(P9&gt;=$B$27,"Positive",IF(P9&lt;$B$14,"Limited","Neutral"))</f>
        <v>Positive</v>
      </c>
    </row>
    <row r="10" spans="1:17" x14ac:dyDescent="0.3">
      <c r="A10" s="3" t="s">
        <v>55</v>
      </c>
      <c r="B10" s="34">
        <f>'Investment Scorecard'!G15</f>
        <v>4</v>
      </c>
      <c r="C10" s="14">
        <f>'Forward &amp; Historical Valuation'!I20</f>
        <v>0.33410329572557562</v>
      </c>
      <c r="D10" s="14">
        <f>'CCA Valuation'!K9</f>
        <v>0.42587493919209019</v>
      </c>
      <c r="E10" s="40">
        <f>AVERAGE('Qualitative Analysis'!B8,'Qualitative Analysis'!C8)</f>
        <v>3.5</v>
      </c>
      <c r="F10" s="29">
        <f>'Cost &amp; Risk Assessment'!F19</f>
        <v>3.25</v>
      </c>
      <c r="G10" s="25" t="e">
        <f>IF(B10&lt;=#REF!,1,IF(B10&gt;=#REF!,-1,0))</f>
        <v>#REF!</v>
      </c>
      <c r="H10" s="25">
        <f>IF(C10&gt;=$B$16,1,IF(C10&lt;$B$17,-1,0))</f>
        <v>1</v>
      </c>
      <c r="I10" s="25">
        <f>IF(D10&gt;=$B$18,1,IF(D10&lt;=$B$19,-1,0))</f>
        <v>1</v>
      </c>
      <c r="J10" s="25">
        <f>IF(E10&gt;=$B$20,1,IF(E10&lt;$B$21,-1,0))</f>
        <v>1</v>
      </c>
      <c r="K10" s="25">
        <f>IF(F10&lt;=$B$22,1,IF(F10&gt;=$B$23,-1,0))</f>
        <v>-1</v>
      </c>
      <c r="L10" s="41" t="e">
        <f>SUM(G10:K10)</f>
        <v>#REF!</v>
      </c>
      <c r="M10" s="3" t="e">
        <f>IF(L10&gt;=$B$24,"OVERWEIGHT",IF(L10&lt;=$B$25,"UNDERWEIGHT","HOLD"))</f>
        <v>#REF!</v>
      </c>
      <c r="N10" s="14">
        <f>'FY27-28E Assumptions'!H17/'Forward &amp; Historical Valuation'!D10-1</f>
        <v>-2.4151015118790253E-2</v>
      </c>
      <c r="O10" s="9" t="str">
        <f>IF(N10&gt;=$B$26,"Positive",IF(N10&lt;0,"Cautious","Neutral"))</f>
        <v>Cautious</v>
      </c>
      <c r="P10" s="14">
        <f>'Capacity &amp; Efficiency'!J9</f>
        <v>0.22486288848263247</v>
      </c>
      <c r="Q10" s="9" t="str">
        <f>IF(P10&gt;=$B$27,"Positive",IF(P10&lt;$B$14,"Limited","Neutral"))</f>
        <v>Positive</v>
      </c>
    </row>
    <row r="13" spans="1:17" x14ac:dyDescent="0.3">
      <c r="A13" s="3"/>
      <c r="B13" s="50"/>
    </row>
    <row r="14" spans="1:17" x14ac:dyDescent="0.3">
      <c r="A14" s="9"/>
      <c r="B14" s="50"/>
    </row>
    <row r="15" spans="1:17" x14ac:dyDescent="0.3">
      <c r="A15" s="9"/>
      <c r="B15" s="50"/>
    </row>
    <row r="16" spans="1:17" x14ac:dyDescent="0.3">
      <c r="A16" s="9"/>
      <c r="B16" s="50"/>
    </row>
    <row r="17" spans="1:2" x14ac:dyDescent="0.3">
      <c r="A17" s="9"/>
      <c r="B17" s="50"/>
    </row>
    <row r="18" spans="1:2" x14ac:dyDescent="0.3">
      <c r="A18" s="9"/>
      <c r="B18" s="50"/>
    </row>
    <row r="19" spans="1:2" x14ac:dyDescent="0.3">
      <c r="A19" s="9"/>
      <c r="B19" s="50"/>
    </row>
    <row r="20" spans="1:2" x14ac:dyDescent="0.3">
      <c r="A20" s="9"/>
      <c r="B20" s="50"/>
    </row>
    <row r="21" spans="1:2" x14ac:dyDescent="0.3">
      <c r="A21" s="9"/>
      <c r="B21" s="50"/>
    </row>
    <row r="22" spans="1:2" x14ac:dyDescent="0.3">
      <c r="A22" s="9"/>
      <c r="B22" s="50"/>
    </row>
    <row r="23" spans="1:2" x14ac:dyDescent="0.3">
      <c r="A23" s="9"/>
      <c r="B23" s="50"/>
    </row>
    <row r="24" spans="1:2" x14ac:dyDescent="0.3">
      <c r="A24" s="9"/>
      <c r="B24" s="50"/>
    </row>
    <row r="25" spans="1:2" x14ac:dyDescent="0.3">
      <c r="A25" s="9"/>
      <c r="B25" s="50"/>
    </row>
    <row r="26" spans="1:2" x14ac:dyDescent="0.3">
      <c r="A26" s="9"/>
      <c r="B26" s="50"/>
    </row>
    <row r="27" spans="1:2" x14ac:dyDescent="0.3">
      <c r="A27" s="9"/>
      <c r="B27" s="50"/>
    </row>
    <row r="28" spans="1:2" x14ac:dyDescent="0.3">
      <c r="A28" s="9"/>
      <c r="B28" s="5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zoomScaleNormal="100" workbookViewId="0">
      <selection activeCell="B34" sqref="B34"/>
    </sheetView>
  </sheetViews>
  <sheetFormatPr defaultColWidth="8.6640625" defaultRowHeight="14.4" x14ac:dyDescent="0.3"/>
  <cols>
    <col min="1" max="1" width="42" customWidth="1"/>
    <col min="2" max="2" width="18" customWidth="1"/>
    <col min="3" max="3" width="60" customWidth="1"/>
    <col min="4" max="5" width="44" customWidth="1"/>
    <col min="6" max="10" width="16" customWidth="1"/>
    <col min="11" max="11" width="18" customWidth="1"/>
  </cols>
  <sheetData>
    <row r="1" spans="1:4" ht="17.399999999999999" x14ac:dyDescent="0.3">
      <c r="A1" s="51" t="s">
        <v>628</v>
      </c>
    </row>
    <row r="3" spans="1:4" x14ac:dyDescent="0.3">
      <c r="A3" s="3" t="s">
        <v>391</v>
      </c>
    </row>
    <row r="4" spans="1:4" x14ac:dyDescent="0.3">
      <c r="A4" s="7" t="s">
        <v>392</v>
      </c>
      <c r="B4" s="7" t="s">
        <v>393</v>
      </c>
      <c r="C4" s="7" t="s">
        <v>394</v>
      </c>
      <c r="D4" s="7" t="s">
        <v>395</v>
      </c>
    </row>
    <row r="5" spans="1:4" ht="31.5" customHeight="1" x14ac:dyDescent="0.3">
      <c r="A5" s="3" t="s">
        <v>383</v>
      </c>
      <c r="B5" s="34" t="e">
        <f>'Recommendation Matrix'!#REF!</f>
        <v>#REF!</v>
      </c>
      <c r="C5" s="4" t="s">
        <v>396</v>
      </c>
      <c r="D5" s="4" t="s">
        <v>397</v>
      </c>
    </row>
    <row r="6" spans="1:4" ht="31.5" customHeight="1" x14ac:dyDescent="0.3">
      <c r="A6" s="3" t="s">
        <v>384</v>
      </c>
      <c r="B6" s="34" t="e">
        <f>'Recommendation Matrix'!#REF!</f>
        <v>#REF!</v>
      </c>
      <c r="C6" s="4" t="s">
        <v>398</v>
      </c>
      <c r="D6" s="4" t="s">
        <v>399</v>
      </c>
    </row>
    <row r="7" spans="1:4" ht="31.5" customHeight="1" x14ac:dyDescent="0.3">
      <c r="A7" s="3" t="s">
        <v>400</v>
      </c>
      <c r="B7" s="14">
        <f>'Recommendation Matrix'!B16</f>
        <v>0</v>
      </c>
      <c r="C7" s="4" t="s">
        <v>401</v>
      </c>
      <c r="D7" s="4" t="s">
        <v>402</v>
      </c>
    </row>
    <row r="8" spans="1:4" ht="31.5" customHeight="1" x14ac:dyDescent="0.3">
      <c r="A8" s="3" t="s">
        <v>403</v>
      </c>
      <c r="B8" s="14">
        <f>'Recommendation Matrix'!B17</f>
        <v>0</v>
      </c>
      <c r="C8" s="4" t="s">
        <v>404</v>
      </c>
      <c r="D8" s="4" t="s">
        <v>405</v>
      </c>
    </row>
    <row r="9" spans="1:4" ht="31.5" customHeight="1" x14ac:dyDescent="0.3">
      <c r="A9" s="3" t="s">
        <v>406</v>
      </c>
      <c r="B9" s="14">
        <f>'Recommendation Matrix'!B18</f>
        <v>0</v>
      </c>
      <c r="C9" s="4" t="s">
        <v>407</v>
      </c>
      <c r="D9" s="4" t="s">
        <v>408</v>
      </c>
    </row>
    <row r="10" spans="1:4" ht="31.5" customHeight="1" x14ac:dyDescent="0.3">
      <c r="A10" s="3" t="s">
        <v>409</v>
      </c>
      <c r="B10" s="14">
        <f>'Recommendation Matrix'!B19</f>
        <v>0</v>
      </c>
      <c r="C10" s="4" t="s">
        <v>410</v>
      </c>
      <c r="D10" s="4" t="s">
        <v>411</v>
      </c>
    </row>
    <row r="11" spans="1:4" ht="31.5" customHeight="1" x14ac:dyDescent="0.3">
      <c r="A11" s="3" t="s">
        <v>385</v>
      </c>
      <c r="B11" s="40">
        <f>'Recommendation Matrix'!B20</f>
        <v>0</v>
      </c>
      <c r="C11" s="4" t="s">
        <v>412</v>
      </c>
      <c r="D11" s="4" t="s">
        <v>413</v>
      </c>
    </row>
    <row r="12" spans="1:4" ht="31.5" customHeight="1" x14ac:dyDescent="0.3">
      <c r="A12" s="3" t="s">
        <v>386</v>
      </c>
      <c r="B12" s="40">
        <f>'Recommendation Matrix'!B21</f>
        <v>0</v>
      </c>
      <c r="C12" s="4" t="s">
        <v>414</v>
      </c>
      <c r="D12" s="4" t="s">
        <v>415</v>
      </c>
    </row>
    <row r="13" spans="1:4" ht="31.5" customHeight="1" x14ac:dyDescent="0.3">
      <c r="A13" s="3" t="s">
        <v>387</v>
      </c>
      <c r="B13" s="29">
        <f>'Recommendation Matrix'!B22</f>
        <v>0</v>
      </c>
      <c r="C13" s="4" t="s">
        <v>416</v>
      </c>
      <c r="D13" s="4" t="s">
        <v>417</v>
      </c>
    </row>
    <row r="14" spans="1:4" ht="31.5" customHeight="1" x14ac:dyDescent="0.3">
      <c r="A14" s="3" t="s">
        <v>388</v>
      </c>
      <c r="B14" s="29">
        <f>'Recommendation Matrix'!B23</f>
        <v>0</v>
      </c>
      <c r="C14" s="4" t="s">
        <v>418</v>
      </c>
      <c r="D14" s="4" t="s">
        <v>419</v>
      </c>
    </row>
    <row r="15" spans="1:4" ht="31.5" customHeight="1" x14ac:dyDescent="0.3">
      <c r="A15" s="3" t="s">
        <v>389</v>
      </c>
      <c r="B15" s="34">
        <f>'Recommendation Matrix'!B24</f>
        <v>0</v>
      </c>
      <c r="C15" s="4" t="s">
        <v>420</v>
      </c>
      <c r="D15" s="4" t="s">
        <v>421</v>
      </c>
    </row>
    <row r="16" spans="1:4" ht="31.5" customHeight="1" x14ac:dyDescent="0.3">
      <c r="A16" s="3" t="s">
        <v>390</v>
      </c>
      <c r="B16" s="34">
        <f>'Recommendation Matrix'!B25</f>
        <v>0</v>
      </c>
      <c r="C16" s="4" t="s">
        <v>422</v>
      </c>
      <c r="D16" s="4" t="s">
        <v>411</v>
      </c>
    </row>
    <row r="19" spans="1:7" x14ac:dyDescent="0.3">
      <c r="A19" s="3" t="s">
        <v>423</v>
      </c>
    </row>
    <row r="20" spans="1:7" x14ac:dyDescent="0.3">
      <c r="A20" s="7" t="s">
        <v>424</v>
      </c>
      <c r="B20" s="7" t="s">
        <v>425</v>
      </c>
      <c r="C20" s="7" t="s">
        <v>426</v>
      </c>
    </row>
    <row r="21" spans="1:7" x14ac:dyDescent="0.3">
      <c r="A21" s="3">
        <v>5</v>
      </c>
      <c r="B21" s="9" t="s">
        <v>427</v>
      </c>
      <c r="C21" s="9" t="s">
        <v>428</v>
      </c>
    </row>
    <row r="22" spans="1:7" x14ac:dyDescent="0.3">
      <c r="A22" s="3">
        <v>4</v>
      </c>
      <c r="B22" s="9" t="s">
        <v>429</v>
      </c>
      <c r="C22" s="9" t="s">
        <v>430</v>
      </c>
    </row>
    <row r="23" spans="1:7" x14ac:dyDescent="0.3">
      <c r="A23" s="3">
        <v>3</v>
      </c>
      <c r="B23" s="9" t="s">
        <v>431</v>
      </c>
      <c r="C23" s="9" t="s">
        <v>432</v>
      </c>
    </row>
    <row r="24" spans="1:7" x14ac:dyDescent="0.3">
      <c r="A24" s="3">
        <v>2</v>
      </c>
      <c r="B24" s="9" t="s">
        <v>433</v>
      </c>
      <c r="C24" s="9" t="s">
        <v>434</v>
      </c>
    </row>
    <row r="25" spans="1:7" x14ac:dyDescent="0.3">
      <c r="A25" s="3">
        <v>1</v>
      </c>
      <c r="B25" s="9" t="s">
        <v>435</v>
      </c>
      <c r="C25" s="9" t="s">
        <v>436</v>
      </c>
    </row>
    <row r="27" spans="1:7" ht="26.4" x14ac:dyDescent="0.3">
      <c r="A27" s="7" t="s">
        <v>45</v>
      </c>
      <c r="B27" s="7" t="s">
        <v>437</v>
      </c>
      <c r="C27" s="7" t="s">
        <v>438</v>
      </c>
      <c r="D27" s="7" t="s">
        <v>439</v>
      </c>
      <c r="E27" s="7" t="s">
        <v>438</v>
      </c>
      <c r="F27" s="7" t="s">
        <v>440</v>
      </c>
      <c r="G27" s="7" t="s">
        <v>441</v>
      </c>
    </row>
    <row r="28" spans="1:7" ht="31.5" customHeight="1" x14ac:dyDescent="0.3">
      <c r="A28" s="3" t="s">
        <v>47</v>
      </c>
      <c r="B28" s="34">
        <f>'Qualitative Analysis'!B4</f>
        <v>5</v>
      </c>
      <c r="C28" s="4" t="s">
        <v>442</v>
      </c>
      <c r="D28" s="34">
        <f>'Qualitative Analysis'!C4</f>
        <v>4</v>
      </c>
      <c r="E28" s="4" t="s">
        <v>443</v>
      </c>
      <c r="F28" s="34">
        <f>ROUND(AVERAGE(6-RANK('Capacity &amp; Efficiency'!B5,'Capacity &amp; Efficiency'!$B$5:$B$9),6-RANK('Capacity &amp; Efficiency'!J5,'Capacity &amp; Efficiency'!$J$5:$J$9),6-RANK('Ratio Analysis'!C6,'Ratio Analysis'!$C$6:$G$6)),0)</f>
        <v>4</v>
      </c>
      <c r="G28" s="34">
        <f>ROUND(AVERAGE(6-RANK('Ratio Analysis'!C8,'Ratio Analysis'!$C$8:$G$8),6-RANK('Capacity &amp; Efficiency'!E5,'Capacity &amp; Efficiency'!$E$5:$E$9),6-RANK('Ratio Analysis'!C14,'Ratio Analysis'!$C$14:$G$14,1)),0)</f>
        <v>4</v>
      </c>
    </row>
    <row r="29" spans="1:7" ht="31.5" customHeight="1" x14ac:dyDescent="0.3">
      <c r="A29" s="3" t="s">
        <v>49</v>
      </c>
      <c r="B29" s="34">
        <f>'Qualitative Analysis'!B5</f>
        <v>3</v>
      </c>
      <c r="C29" s="4" t="s">
        <v>444</v>
      </c>
      <c r="D29" s="34">
        <f>'Qualitative Analysis'!C5</f>
        <v>5</v>
      </c>
      <c r="E29" s="4" t="s">
        <v>445</v>
      </c>
      <c r="F29" s="34">
        <f>ROUND(AVERAGE(6-RANK('Capacity &amp; Efficiency'!B6,'Capacity &amp; Efficiency'!$B$5:$B$9),6-RANK('Capacity &amp; Efficiency'!J6,'Capacity &amp; Efficiency'!$J$5:$J$9),6-RANK('Ratio Analysis'!D6,'Ratio Analysis'!$C$6:$G$6)),0)</f>
        <v>2</v>
      </c>
      <c r="G29" s="34">
        <f>ROUND(AVERAGE(6-RANK('Ratio Analysis'!D8,'Ratio Analysis'!$C$8:$G$8),6-RANK('Capacity &amp; Efficiency'!E6,'Capacity &amp; Efficiency'!$E$5:$E$9),6-RANK('Ratio Analysis'!D14,'Ratio Analysis'!$C$14:$G$14,1)),0)</f>
        <v>4</v>
      </c>
    </row>
    <row r="30" spans="1:7" ht="31.5" customHeight="1" x14ac:dyDescent="0.3">
      <c r="A30" s="3" t="s">
        <v>51</v>
      </c>
      <c r="B30" s="34">
        <f>'Qualitative Analysis'!B6</f>
        <v>4</v>
      </c>
      <c r="C30" s="4" t="s">
        <v>446</v>
      </c>
      <c r="D30" s="34">
        <f>'Qualitative Analysis'!C6</f>
        <v>3</v>
      </c>
      <c r="E30" s="4" t="s">
        <v>447</v>
      </c>
      <c r="F30" s="34">
        <f>ROUND(AVERAGE(6-RANK('Capacity &amp; Efficiency'!B7,'Capacity &amp; Efficiency'!$B$5:$B$9),6-RANK('Capacity &amp; Efficiency'!J7,'Capacity &amp; Efficiency'!$J$5:$J$9),6-RANK('Ratio Analysis'!E6,'Ratio Analysis'!$C$6:$G$6)),0)</f>
        <v>3</v>
      </c>
      <c r="G30" s="34">
        <f>ROUND(AVERAGE(6-RANK('Ratio Analysis'!E8,'Ratio Analysis'!$C$8:$G$8),6-RANK('Capacity &amp; Efficiency'!E7,'Capacity &amp; Efficiency'!$E$5:$E$9),6-RANK('Ratio Analysis'!E14,'Ratio Analysis'!$C$14:$G$14,1)),0)</f>
        <v>3</v>
      </c>
    </row>
    <row r="31" spans="1:7" ht="31.5" customHeight="1" x14ac:dyDescent="0.3">
      <c r="A31" s="3" t="s">
        <v>53</v>
      </c>
      <c r="B31" s="34">
        <f>'Qualitative Analysis'!B7</f>
        <v>4</v>
      </c>
      <c r="C31" s="4" t="s">
        <v>448</v>
      </c>
      <c r="D31" s="34">
        <f>'Qualitative Analysis'!C7</f>
        <v>2</v>
      </c>
      <c r="E31" s="4" t="s">
        <v>449</v>
      </c>
      <c r="F31" s="34">
        <f>ROUND(AVERAGE(6-RANK('Capacity &amp; Efficiency'!B8,'Capacity &amp; Efficiency'!$B$5:$B$9),6-RANK('Capacity &amp; Efficiency'!J8,'Capacity &amp; Efficiency'!$J$5:$J$9),6-RANK('Ratio Analysis'!F6,'Ratio Analysis'!$C$6:$G$6)),0)</f>
        <v>3</v>
      </c>
      <c r="G31" s="34">
        <f>ROUND(AVERAGE(6-RANK('Ratio Analysis'!F8,'Ratio Analysis'!$C$8:$G$8),6-RANK('Capacity &amp; Efficiency'!E8,'Capacity &amp; Efficiency'!$E$5:$E$9),6-RANK('Ratio Analysis'!F14,'Ratio Analysis'!$C$14:$G$14,1)),0)</f>
        <v>2</v>
      </c>
    </row>
    <row r="32" spans="1:7" ht="31.5" customHeight="1" x14ac:dyDescent="0.3">
      <c r="A32" s="3" t="s">
        <v>55</v>
      </c>
      <c r="B32" s="34">
        <f>'Qualitative Analysis'!B8</f>
        <v>3</v>
      </c>
      <c r="C32" s="4" t="s">
        <v>450</v>
      </c>
      <c r="D32" s="34">
        <f>'Qualitative Analysis'!C8</f>
        <v>4</v>
      </c>
      <c r="E32" s="4" t="s">
        <v>451</v>
      </c>
      <c r="F32" s="34">
        <f>ROUND(AVERAGE(6-RANK('Capacity &amp; Efficiency'!B9,'Capacity &amp; Efficiency'!$B$5:$B$9),6-RANK('Capacity &amp; Efficiency'!J9,'Capacity &amp; Efficiency'!$J$5:$J$9),6-RANK('Ratio Analysis'!G6,'Ratio Analysis'!$C$6:$G$6)),0)</f>
        <v>2</v>
      </c>
      <c r="G32" s="34">
        <f>ROUND(AVERAGE(6-RANK('Ratio Analysis'!G8,'Ratio Analysis'!$C$8:$G$8),6-RANK('Capacity &amp; Efficiency'!E9,'Capacity &amp; Efficiency'!$E$5:$E$9),6-RANK('Ratio Analysis'!G14,'Ratio Analysis'!$C$14:$G$14,1)),0)</f>
        <v>2</v>
      </c>
    </row>
    <row r="33" spans="1:11" x14ac:dyDescent="0.3">
      <c r="A33" s="2"/>
    </row>
    <row r="35" spans="1:11" hidden="1" x14ac:dyDescent="0.3">
      <c r="A35" s="3"/>
    </row>
    <row r="36" spans="1:11" ht="1.8" hidden="1" customHeight="1" x14ac:dyDescent="0.3">
      <c r="B36" s="47"/>
      <c r="C36" s="47"/>
      <c r="D36" s="47"/>
      <c r="E36" s="47"/>
      <c r="F36" s="47"/>
      <c r="G36" s="47"/>
      <c r="H36" s="47"/>
      <c r="I36" s="47"/>
      <c r="J36" s="47"/>
      <c r="K36" s="47"/>
    </row>
    <row r="37" spans="1:11" hidden="1" x14ac:dyDescent="0.3">
      <c r="A37" s="53"/>
      <c r="B37" s="54"/>
      <c r="C37" s="55"/>
      <c r="D37" s="56"/>
      <c r="E37" s="9"/>
      <c r="F37" s="42"/>
      <c r="G37" s="42"/>
      <c r="H37" s="42"/>
      <c r="I37" s="42"/>
      <c r="J37" s="42"/>
      <c r="K37" s="25"/>
    </row>
    <row r="38" spans="1:11" hidden="1" x14ac:dyDescent="0.3">
      <c r="A38" s="3"/>
      <c r="B38" s="34"/>
      <c r="C38" s="42"/>
      <c r="D38" s="9"/>
      <c r="E38" s="9"/>
      <c r="F38" s="42"/>
      <c r="G38" s="42"/>
      <c r="H38" s="42"/>
      <c r="I38" s="42"/>
      <c r="J38" s="42"/>
      <c r="K38" s="25"/>
    </row>
    <row r="39" spans="1:11" x14ac:dyDescent="0.3">
      <c r="A39" s="3"/>
      <c r="B39" s="34"/>
      <c r="C39" s="42"/>
      <c r="D39" s="9"/>
      <c r="E39" s="9"/>
      <c r="F39" s="42"/>
      <c r="G39" s="42"/>
      <c r="H39" s="42"/>
      <c r="I39" s="42"/>
      <c r="J39" s="42"/>
      <c r="K39" s="25"/>
    </row>
    <row r="40" spans="1:11" x14ac:dyDescent="0.3">
      <c r="A40" s="3"/>
      <c r="B40" s="34"/>
      <c r="C40" s="42"/>
      <c r="D40" s="9"/>
      <c r="E40" s="9"/>
      <c r="F40" s="42"/>
      <c r="G40" s="42"/>
      <c r="H40" s="42"/>
      <c r="I40" s="42"/>
      <c r="J40" s="42"/>
      <c r="K40" s="25"/>
    </row>
    <row r="41" spans="1:11" x14ac:dyDescent="0.3">
      <c r="A41" s="3"/>
      <c r="B41" s="34"/>
      <c r="C41" s="42"/>
      <c r="D41" s="9"/>
      <c r="E41" s="9"/>
      <c r="F41" s="42"/>
      <c r="G41" s="42"/>
      <c r="H41" s="42"/>
      <c r="I41" s="42"/>
      <c r="J41" s="42"/>
      <c r="K41" s="25"/>
    </row>
    <row r="43" spans="1:11" x14ac:dyDescent="0.3">
      <c r="A43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zoomScaleNormal="100" workbookViewId="0">
      <selection activeCell="C1" sqref="C1"/>
    </sheetView>
  </sheetViews>
  <sheetFormatPr defaultColWidth="8.6640625" defaultRowHeight="14.4" x14ac:dyDescent="0.3"/>
  <cols>
    <col min="1" max="1" width="16" customWidth="1"/>
    <col min="2" max="2" width="14" customWidth="1"/>
    <col min="3" max="3" width="46" customWidth="1"/>
    <col min="4" max="4" width="38" customWidth="1"/>
    <col min="5" max="5" width="26" customWidth="1"/>
    <col min="6" max="6" width="30" customWidth="1"/>
    <col min="7" max="8" width="36" customWidth="1"/>
    <col min="9" max="9" width="34" customWidth="1"/>
  </cols>
  <sheetData>
    <row r="1" spans="1:9" ht="17.399999999999999" x14ac:dyDescent="0.3">
      <c r="A1" s="51" t="s">
        <v>629</v>
      </c>
    </row>
    <row r="3" spans="1:9" x14ac:dyDescent="0.3">
      <c r="A3" s="7" t="s">
        <v>45</v>
      </c>
      <c r="B3" s="7" t="s">
        <v>379</v>
      </c>
      <c r="C3" s="7" t="s">
        <v>452</v>
      </c>
      <c r="D3" s="7" t="s">
        <v>453</v>
      </c>
      <c r="E3" s="7" t="s">
        <v>454</v>
      </c>
      <c r="F3" s="7" t="s">
        <v>455</v>
      </c>
      <c r="G3" s="7" t="s">
        <v>456</v>
      </c>
      <c r="H3" s="7" t="s">
        <v>252</v>
      </c>
      <c r="I3" s="7" t="s">
        <v>457</v>
      </c>
    </row>
    <row r="4" spans="1:9" ht="61.5" customHeight="1" x14ac:dyDescent="0.3">
      <c r="A4" s="3" t="s">
        <v>47</v>
      </c>
      <c r="B4" s="42" t="e">
        <f>'Recommendation Matrix'!M6</f>
        <v>#REF!</v>
      </c>
      <c r="C4" s="6" t="str">
        <f>"P/E "&amp;TEXT('Ratio Analysis'!C11,"0.0")&amp;"x vs peer median "&amp;TEXT('CCA Valuation'!D5,"0.0")&amp;"x; convergence-adjusted base case "&amp;TEXT('Forward &amp; Historical Valuation'!I16,"+0%;-0%")&amp;" vs current price (full convergence "&amp;TEXT('Forward &amp; Historical Valuation'!K16,"+0%;-0%")&amp;")"</f>
        <v>P/E 39.0x vs peer median 33.3x; convergence-adjusted base case +19% vs current price (full convergence +1%)</v>
      </c>
      <c r="D4" s="6" t="str">
        <f>"2Y revenue CAGR "&amp;TEXT('Ratio Analysis'!C6,"0.0%")&amp;"; FY27E EPS growth "&amp;TEXT('Recommendation Matrix'!N6,"+0.0%;-0.0%")&amp;"; planned capacity growth "&amp;TEXT('Recommendation Matrix'!P6,"+0%")</f>
        <v>2Y revenue CAGR 11.7%; FY27E EPS growth +3.2%; planned capacity growth +20%</v>
      </c>
      <c r="E4" s="6" t="str">
        <f>"EBITDA margin "&amp;TEXT('Ratio Analysis'!C8,"0.0%")&amp;"; ROE "&amp;TEXT('Ratio Analysis'!C13,"0.0%")</f>
        <v>EBITDA margin 19.2%; ROE 11.6%</v>
      </c>
      <c r="F4" s="6" t="str">
        <f>"Debt/Equity "&amp;TEXT('Ratio Analysis'!C14,"0.00")&amp;"x; composite risk "&amp;TEXT('Recommendation Matrix'!F6,"0.00")&amp;" of 5"</f>
        <v>Debt/Equity 0.34x; composite risk 2.50 of 5</v>
      </c>
      <c r="G4" s="6" t="str">
        <f>'Qualitative Analysis'!E4</f>
        <v>Domestic capacity to exceed 240 MTPA by FY28</v>
      </c>
      <c r="H4" s="6" t="str">
        <f>'Qualitative Analysis'!F4</f>
        <v>Premium valuation relative to peers; exposed to fuel and freight inflation</v>
      </c>
      <c r="I4" s="6" t="str">
        <f>"Short term: "&amp;'Recommendation Matrix'!O6&amp;" | Long term: "&amp;'Recommendation Matrix'!Q6</f>
        <v>Short term: Positive | Long term: Positive</v>
      </c>
    </row>
    <row r="5" spans="1:9" ht="61.5" customHeight="1" x14ac:dyDescent="0.3">
      <c r="A5" s="3" t="s">
        <v>49</v>
      </c>
      <c r="B5" s="42" t="e">
        <f>'Recommendation Matrix'!M7</f>
        <v>#REF!</v>
      </c>
      <c r="C5" s="6" t="str">
        <f>"P/E "&amp;TEXT('Ratio Analysis'!D11,"0.0")&amp;"x vs peer median "&amp;TEXT('CCA Valuation'!D6,"0.0")&amp;"x; convergence-adjusted base case "&amp;TEXT('Forward &amp; Historical Valuation'!I17,"+0%;-0%")&amp;" vs current price (full convergence "&amp;TEXT('Forward &amp; Historical Valuation'!K17,"+0%;-0%")&amp;")"</f>
        <v>P/E 45.2x vs peer median 33.2x; convergence-adjusted base case +1% vs current price (full convergence -15%)</v>
      </c>
      <c r="D5" s="6" t="str">
        <f>"2Y revenue CAGR "&amp;TEXT('Ratio Analysis'!D6,"0.0%")&amp;"; FY27E EPS growth "&amp;TEXT('Recommendation Matrix'!N7,"+0.0%;-0.0%")&amp;"; planned capacity growth "&amp;TEXT('Recommendation Matrix'!P7,"+0%")</f>
        <v>2Y revenue CAGR 1.3%; FY27E EPS growth +0.1%; planned capacity growth +15%</v>
      </c>
      <c r="E5" s="6" t="str">
        <f>"EBITDA margin "&amp;TEXT('Ratio Analysis'!D8,"0.0%")&amp;"; ROE "&amp;TEXT('Ratio Analysis'!D13,"0.0%")</f>
        <v>EBITDA margin 22.1%; ROE 7.8%</v>
      </c>
      <c r="F5" s="6" t="str">
        <f>"Debt/Equity "&amp;TEXT('Ratio Analysis'!D14,"0.00")&amp;"x; composite risk "&amp;TEXT('Recommendation Matrix'!F7,"0.00")&amp;" of 5"</f>
        <v>Debt/Equity 0.08x; composite risk 2.25 of 5</v>
      </c>
      <c r="G5" s="6" t="str">
        <f>'Qualitative Analysis'!E5</f>
        <v>New 3.0 MTPA line at Jaitaran (Feb-2026); target 80+ MTPA</v>
      </c>
      <c r="H5" s="6" t="str">
        <f>'Qualitative Analysis'!F5</f>
        <v>Slow revenue growth; richest P/E in the set</v>
      </c>
      <c r="I5" s="6" t="str">
        <f>"Short term: "&amp;'Recommendation Matrix'!O7&amp;" | Long term: "&amp;'Recommendation Matrix'!Q7</f>
        <v>Short term: Positive | Long term: Positive</v>
      </c>
    </row>
    <row r="6" spans="1:9" ht="61.5" customHeight="1" x14ac:dyDescent="0.3">
      <c r="A6" s="3" t="s">
        <v>51</v>
      </c>
      <c r="B6" s="42" t="e">
        <f>'Recommendation Matrix'!M8</f>
        <v>#REF!</v>
      </c>
      <c r="C6" s="6" t="str">
        <f>"P/E "&amp;TEXT('Ratio Analysis'!E11,"0.0")&amp;"x vs peer median "&amp;TEXT('CCA Valuation'!D7,"0.0")&amp;"x; convergence-adjusted base case "&amp;TEXT('Forward &amp; Historical Valuation'!I18,"+0%;-0%")&amp;" vs current price (full convergence "&amp;TEXT('Forward &amp; Historical Valuation'!K18,"+0%;-0%")&amp;")"</f>
        <v>P/E 20.7x vs peer median 39.1x; convergence-adjusted base case +50% vs current price (full convergence +96%)</v>
      </c>
      <c r="D6" s="6" t="str">
        <f>"2Y revenue CAGR "&amp;TEXT('Ratio Analysis'!E6,"0.0%")&amp;"; FY27E EPS growth "&amp;TEXT('Recommendation Matrix'!N8,"+0.0%;-0.0%")&amp;"; planned capacity growth "&amp;TEXT('Recommendation Matrix'!P8,"+0%")</f>
        <v>2Y revenue CAGR 10.7%; FY27E EPS growth -8.5%; planned capacity growth +9%</v>
      </c>
      <c r="E6" s="6" t="str">
        <f>"EBITDA margin "&amp;TEXT('Ratio Analysis'!E8,"0.0%")&amp;"; ROE "&amp;TEXT('Ratio Analysis'!E13,"0.0%")</f>
        <v>EBITDA margin 15.7%; ROE 9.0%</v>
      </c>
      <c r="F6" s="6" t="str">
        <f>"Debt/Equity "&amp;TEXT('Ratio Analysis'!E14,"0.00")&amp;"x; composite risk "&amp;TEXT('Recommendation Matrix'!F8,"0.00")&amp;" of 5"</f>
        <v>Debt/Equity 0.02x; composite risk 2.25 of 5</v>
      </c>
      <c r="G6" s="6" t="str">
        <f>'Qualitative Analysis'!E6</f>
        <v>Target 119 MTPA by end FY27; integration of acquired capacity</v>
      </c>
      <c r="H6" s="6" t="str">
        <f>'Qualitative Analysis'!F6</f>
        <v>Lowest EBITDA margin in the set; FY26 profit includes non-recurring items</v>
      </c>
      <c r="I6" s="6" t="str">
        <f>"Short term: "&amp;'Recommendation Matrix'!O8&amp;" | Long term: "&amp;'Recommendation Matrix'!Q8</f>
        <v>Short term: Cautious | Long term: Positive</v>
      </c>
    </row>
    <row r="7" spans="1:9" ht="61.5" customHeight="1" x14ac:dyDescent="0.3">
      <c r="A7" s="3" t="s">
        <v>53</v>
      </c>
      <c r="B7" s="42" t="e">
        <f>'Recommendation Matrix'!M9</f>
        <v>#REF!</v>
      </c>
      <c r="C7" s="6" t="str">
        <f>"P/E "&amp;TEXT('Ratio Analysis'!F11,"0.0")&amp;"x vs peer median "&amp;TEXT('CCA Valuation'!D8,"0.0")&amp;"x; convergence-adjusted base case "&amp;TEXT('Forward &amp; Historical Valuation'!I19,"+0%;-0%")&amp;" vs current price (full convergence "&amp;TEXT('Forward &amp; Historical Valuation'!K19,"+0%;-0%")&amp;")"</f>
        <v>P/E 39.2x vs peer median 33.2x; convergence-adjusted base case +16% vs current price (full convergence +2%)</v>
      </c>
      <c r="D7" s="6" t="str">
        <f>"2Y revenue CAGR "&amp;TEXT('Ratio Analysis'!F6,"0.0%")&amp;"; FY27E EPS growth "&amp;TEXT('Recommendation Matrix'!N9,"+0.0%;-0.0%")&amp;"; planned capacity growth "&amp;TEXT('Recommendation Matrix'!P9,"+0%")</f>
        <v>2Y revenue CAGR 9.0%; FY27E EPS growth +2.2%; planned capacity growth +55%</v>
      </c>
      <c r="E7" s="6" t="str">
        <f>"EBITDA margin "&amp;TEXT('Ratio Analysis'!F8,"0.0%")&amp;"; ROE "&amp;TEXT('Ratio Analysis'!F13,"0.0%")</f>
        <v>EBITDA margin 17.3%; ROE 14.3%</v>
      </c>
      <c r="F7" s="6" t="str">
        <f>"Debt/Equity "&amp;TEXT('Ratio Analysis'!F14,"0.00")&amp;"x; composite risk "&amp;TEXT('Recommendation Matrix'!F9,"0.00")&amp;" of 5"</f>
        <v>Debt/Equity 0.87x; composite risk 3.25 of 5</v>
      </c>
      <c r="G7" s="6" t="str">
        <f>'Qualitative Analysis'!E7</f>
        <v>Plan to reach about 50 MTPA by FY30</v>
      </c>
      <c r="H7" s="6" t="str">
        <f>'Qualitative Analysis'!F7</f>
        <v>Highest debt/equity in the set; richest P/B</v>
      </c>
      <c r="I7" s="6" t="str">
        <f>"Short term: "&amp;'Recommendation Matrix'!O9&amp;" | Long term: "&amp;'Recommendation Matrix'!Q9</f>
        <v>Short term: Positive | Long term: Positive</v>
      </c>
    </row>
    <row r="8" spans="1:9" ht="61.5" customHeight="1" x14ac:dyDescent="0.3">
      <c r="A8" s="3" t="s">
        <v>55</v>
      </c>
      <c r="B8" s="42" t="e">
        <f>'Recommendation Matrix'!M10</f>
        <v>#REF!</v>
      </c>
      <c r="C8" s="6" t="str">
        <f>"P/E "&amp;TEXT('Ratio Analysis'!G11,"0.0")&amp;"x vs peer median "&amp;TEXT('CCA Valuation'!D9,"0.0")&amp;"x; convergence-adjusted base case "&amp;TEXT('Forward &amp; Historical Valuation'!I20,"+0%;-0%")&amp;" vs current price (full convergence "&amp;TEXT('Forward &amp; Historical Valuation'!K20,"+0%;-0%")&amp;")"</f>
        <v>P/E 27.4x vs peer median 39.1x; convergence-adjusted base case +33% vs current price (full convergence +57%)</v>
      </c>
      <c r="D8" s="6" t="str">
        <f>"2Y revenue CAGR "&amp;TEXT('Ratio Analysis'!G6,"0.0%")&amp;"; FY27E EPS growth "&amp;TEXT('Recommendation Matrix'!N10,"+0.0%;-0.0%")&amp;"; planned capacity growth "&amp;TEXT('Recommendation Matrix'!P10,"+0%")</f>
        <v>2Y revenue CAGR 0.4%; FY27E EPS growth -2.4%; planned capacity growth +22%</v>
      </c>
      <c r="E8" s="6" t="str">
        <f>"EBITDA margin "&amp;TEXT('Ratio Analysis'!G8,"0.0%")&amp;"; ROE "&amp;TEXT('Ratio Analysis'!G13,"0.0%")</f>
        <v>EBITDA margin 20.8%; ROE 6.4%</v>
      </c>
      <c r="F8" s="6" t="str">
        <f>"Debt/Equity "&amp;TEXT('Ratio Analysis'!G14,"0.00")&amp;"x; composite risk "&amp;TEXT('Recommendation Matrix'!F10,"0.00")&amp;" of 5"</f>
        <v>Debt/Equity 0.41x; composite risk 3.25 of 5</v>
      </c>
      <c r="G8" s="6" t="str">
        <f>'Qualitative Analysis'!E8</f>
        <v>Target about 67 MTPA by FY28</v>
      </c>
      <c r="H8" s="6" t="str">
        <f>'Qualitative Analysis'!F8</f>
        <v>Southern capacity overhang (ICRA); flat revenue over two years</v>
      </c>
      <c r="I8" s="6" t="str">
        <f>"Short term: "&amp;'Recommendation Matrix'!O10&amp;" | Long term: "&amp;'Recommendation Matrix'!Q10</f>
        <v>Short term: Cautious | Long term: Positive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zoomScaleNormal="100" workbookViewId="0">
      <selection activeCell="A101" sqref="A101"/>
    </sheetView>
  </sheetViews>
  <sheetFormatPr defaultColWidth="8.6640625" defaultRowHeight="14.4" x14ac:dyDescent="0.3"/>
  <cols>
    <col min="1" max="1" width="22" customWidth="1"/>
    <col min="2" max="7" width="14" customWidth="1"/>
  </cols>
  <sheetData>
    <row r="1" spans="1:4" ht="17.399999999999999" x14ac:dyDescent="0.3">
      <c r="A1" s="1" t="s">
        <v>458</v>
      </c>
    </row>
    <row r="3" spans="1:4" x14ac:dyDescent="0.3">
      <c r="A3" s="7" t="s">
        <v>60</v>
      </c>
      <c r="B3" s="7" t="s">
        <v>82</v>
      </c>
      <c r="C3" s="7" t="s">
        <v>83</v>
      </c>
      <c r="D3" s="7" t="s">
        <v>84</v>
      </c>
    </row>
    <row r="4" spans="1:4" x14ac:dyDescent="0.3">
      <c r="A4" s="3" t="s">
        <v>47</v>
      </c>
      <c r="B4" s="17">
        <f>'Hist - UltraTech'!B4</f>
        <v>70908.100000000006</v>
      </c>
      <c r="C4" s="17">
        <f>'Hist - UltraTech'!C4</f>
        <v>75955.100000000006</v>
      </c>
      <c r="D4" s="17">
        <f>'Hist - UltraTech'!D4</f>
        <v>88511.5</v>
      </c>
    </row>
    <row r="5" spans="1:4" x14ac:dyDescent="0.3">
      <c r="A5" s="3" t="s">
        <v>49</v>
      </c>
      <c r="B5" s="17">
        <f>'Hist - Shree'!B4</f>
        <v>20403.8</v>
      </c>
      <c r="C5" s="17">
        <f>'Hist - Shree'!C4</f>
        <v>19282.830000000002</v>
      </c>
      <c r="D5" s="17">
        <f>'Hist - Shree'!D4</f>
        <v>20943.47</v>
      </c>
    </row>
    <row r="6" spans="1:4" x14ac:dyDescent="0.3">
      <c r="A6" s="3" t="s">
        <v>51</v>
      </c>
      <c r="B6" s="17">
        <f>'Hist - Ambuja'!B4</f>
        <v>33159.599999999999</v>
      </c>
      <c r="C6" s="17">
        <f>'Hist - Ambuja'!C4</f>
        <v>35336.400000000001</v>
      </c>
      <c r="D6" s="17">
        <f>'Hist - Ambuja'!D4</f>
        <v>40655.699999999997</v>
      </c>
    </row>
    <row r="7" spans="1:4" x14ac:dyDescent="0.3">
      <c r="A7" s="3" t="s">
        <v>53</v>
      </c>
      <c r="B7" s="17">
        <f>'Hist - JK Cement'!B4</f>
        <v>11556</v>
      </c>
      <c r="C7" s="17">
        <f>'Hist - JK Cement'!C4</f>
        <v>11879.15</v>
      </c>
      <c r="D7" s="17">
        <f>'Hist - JK Cement'!D4</f>
        <v>13722.3</v>
      </c>
    </row>
    <row r="8" spans="1:4" x14ac:dyDescent="0.3">
      <c r="A8" s="3" t="s">
        <v>55</v>
      </c>
      <c r="B8" s="17">
        <f>'Hist - Dalmia'!B4</f>
        <v>14691</v>
      </c>
      <c r="C8" s="17">
        <f>'Hist - Dalmia'!C4</f>
        <v>13980</v>
      </c>
      <c r="D8" s="17">
        <f>'Hist - Dalmia'!D4</f>
        <v>14804</v>
      </c>
    </row>
    <row r="10" spans="1:4" x14ac:dyDescent="0.3">
      <c r="A10" s="7" t="s">
        <v>234</v>
      </c>
      <c r="B10" s="7" t="s">
        <v>82</v>
      </c>
      <c r="C10" s="7" t="s">
        <v>83</v>
      </c>
      <c r="D10" s="7" t="s">
        <v>84</v>
      </c>
    </row>
    <row r="11" spans="1:4" x14ac:dyDescent="0.3">
      <c r="A11" s="3" t="s">
        <v>47</v>
      </c>
      <c r="B11" s="14">
        <f>'Hist - UltraTech'!B7</f>
        <v>0.18289306863390783</v>
      </c>
      <c r="C11" s="14">
        <f>'Hist - UltraTech'!C7</f>
        <v>0.16533451999931537</v>
      </c>
      <c r="D11" s="14">
        <f>'Hist - UltraTech'!D7</f>
        <v>0.19229365675646667</v>
      </c>
    </row>
    <row r="12" spans="1:4" x14ac:dyDescent="0.3">
      <c r="A12" s="3" t="s">
        <v>49</v>
      </c>
      <c r="B12" s="14">
        <f>'Hist - Shree'!B7</f>
        <v>0.22138033111479236</v>
      </c>
      <c r="C12" s="14">
        <f>'Hist - Shree'!C7</f>
        <v>0.20401569686607202</v>
      </c>
      <c r="D12" s="14">
        <f>'Hist - Shree'!D7</f>
        <v>0.22145327397990877</v>
      </c>
    </row>
    <row r="13" spans="1:4" x14ac:dyDescent="0.3">
      <c r="A13" s="3" t="s">
        <v>51</v>
      </c>
      <c r="B13" s="14">
        <f>'Hist - Ambuja'!B7</f>
        <v>0.18853966875354347</v>
      </c>
      <c r="C13" s="14">
        <f>'Hist - Ambuja'!C7</f>
        <v>0.16256324922742552</v>
      </c>
      <c r="D13" s="14">
        <f>'Hist - Ambuja'!D7</f>
        <v>0.15678736314957067</v>
      </c>
    </row>
    <row r="14" spans="1:4" x14ac:dyDescent="0.3">
      <c r="A14" s="3" t="s">
        <v>53</v>
      </c>
      <c r="B14" s="14">
        <f>'Hist - JK Cement'!B7</f>
        <v>0.17358947732779509</v>
      </c>
      <c r="C14" s="14">
        <f>'Hist - JK Cement'!C7</f>
        <v>0.1708085030544971</v>
      </c>
      <c r="D14" s="14">
        <f>'Hist - JK Cement'!D7</f>
        <v>0.17300306799880488</v>
      </c>
    </row>
    <row r="15" spans="1:4" x14ac:dyDescent="0.3">
      <c r="A15" s="3" t="s">
        <v>55</v>
      </c>
      <c r="B15" s="14">
        <f>'Hist - Dalmia'!B7</f>
        <v>0.1796337893948676</v>
      </c>
      <c r="C15" s="14">
        <f>'Hist - Dalmia'!C7</f>
        <v>0.17217453505007152</v>
      </c>
      <c r="D15" s="14">
        <f>'Hist - Dalmia'!D7</f>
        <v>0.2082545258038368</v>
      </c>
    </row>
    <row r="17" spans="1:7" x14ac:dyDescent="0.3">
      <c r="A17" s="7" t="s">
        <v>89</v>
      </c>
      <c r="B17" s="7" t="s">
        <v>82</v>
      </c>
      <c r="C17" s="7" t="s">
        <v>83</v>
      </c>
      <c r="D17" s="7" t="s">
        <v>84</v>
      </c>
    </row>
    <row r="18" spans="1:7" x14ac:dyDescent="0.3">
      <c r="A18" s="3" t="s">
        <v>47</v>
      </c>
      <c r="B18" s="17">
        <f>'Hist - UltraTech'!B8</f>
        <v>7005</v>
      </c>
      <c r="C18" s="17">
        <f>'Hist - UltraTech'!C8</f>
        <v>6039.1</v>
      </c>
      <c r="D18" s="17">
        <f>'Hist - UltraTech'!D8</f>
        <v>8165.64</v>
      </c>
    </row>
    <row r="19" spans="1:7" x14ac:dyDescent="0.3">
      <c r="A19" s="3" t="s">
        <v>49</v>
      </c>
      <c r="B19" s="17">
        <f>'Hist - Shree'!B8</f>
        <v>2396.16</v>
      </c>
      <c r="C19" s="17">
        <f>'Hist - Shree'!C8</f>
        <v>1123.8</v>
      </c>
      <c r="D19" s="17">
        <f>'Hist - Shree'!D8</f>
        <v>1748.66</v>
      </c>
    </row>
    <row r="20" spans="1:7" x14ac:dyDescent="0.3">
      <c r="A20" s="3" t="s">
        <v>51</v>
      </c>
      <c r="B20" s="17">
        <f>'Hist - Ambuja'!B8</f>
        <v>3573.4</v>
      </c>
      <c r="C20" s="17">
        <f>'Hist - Ambuja'!C8</f>
        <v>4303.1000000000004</v>
      </c>
      <c r="D20" s="17">
        <f>'Hist - Ambuja'!D8</f>
        <v>4728.2</v>
      </c>
    </row>
    <row r="21" spans="1:7" x14ac:dyDescent="0.3">
      <c r="A21" s="3" t="s">
        <v>53</v>
      </c>
      <c r="B21" s="17">
        <f>'Hist - JK Cement'!B8</f>
        <v>790.83</v>
      </c>
      <c r="C21" s="17">
        <f>'Hist - JK Cement'!C8</f>
        <v>861.12</v>
      </c>
      <c r="D21" s="17">
        <f>'Hist - JK Cement'!D8</f>
        <v>992.49</v>
      </c>
    </row>
    <row r="22" spans="1:7" x14ac:dyDescent="0.3">
      <c r="A22" s="3" t="s">
        <v>55</v>
      </c>
      <c r="B22" s="17">
        <f>'Hist - Dalmia'!B8</f>
        <v>853</v>
      </c>
      <c r="C22" s="17">
        <f>'Hist - Dalmia'!C8</f>
        <v>699</v>
      </c>
      <c r="D22" s="17">
        <f>'Hist - Dalmia'!D8</f>
        <v>1157.5</v>
      </c>
    </row>
    <row r="24" spans="1:7" x14ac:dyDescent="0.3">
      <c r="A24" s="7" t="s">
        <v>459</v>
      </c>
      <c r="B24" s="7" t="s">
        <v>82</v>
      </c>
      <c r="C24" s="7" t="s">
        <v>83</v>
      </c>
      <c r="D24" s="7" t="s">
        <v>84</v>
      </c>
    </row>
    <row r="25" spans="1:7" x14ac:dyDescent="0.3">
      <c r="A25" s="3" t="s">
        <v>47</v>
      </c>
      <c r="B25" s="14">
        <f>'Hist - UltraTech'!B10</f>
        <v>9.8789842063177535E-2</v>
      </c>
      <c r="C25" s="14">
        <f>'Hist - UltraTech'!C10</f>
        <v>7.950881507627533E-2</v>
      </c>
      <c r="D25" s="14">
        <f>'Hist - UltraTech'!D10</f>
        <v>9.2255130689232481E-2</v>
      </c>
    </row>
    <row r="26" spans="1:7" x14ac:dyDescent="0.3">
      <c r="A26" s="3" t="s">
        <v>49</v>
      </c>
      <c r="B26" s="14">
        <f>'Hist - Shree'!B10</f>
        <v>0.11743694801948656</v>
      </c>
      <c r="C26" s="14">
        <f>'Hist - Shree'!C10</f>
        <v>5.8279827183043142E-2</v>
      </c>
      <c r="D26" s="14">
        <f>'Hist - Shree'!D10</f>
        <v>8.3494282466086089E-2</v>
      </c>
    </row>
    <row r="27" spans="1:7" x14ac:dyDescent="0.3">
      <c r="A27" s="3" t="s">
        <v>51</v>
      </c>
      <c r="B27" s="14">
        <f>'Hist - Ambuja'!B10</f>
        <v>0.10776366421790372</v>
      </c>
      <c r="C27" s="14">
        <f>'Hist - Ambuja'!C10</f>
        <v>0.1217752798813688</v>
      </c>
      <c r="D27" s="14">
        <f>'Hist - Ambuja'!D10</f>
        <v>0.11629857559948543</v>
      </c>
    </row>
    <row r="28" spans="1:7" x14ac:dyDescent="0.3">
      <c r="A28" s="3" t="s">
        <v>53</v>
      </c>
      <c r="B28" s="14">
        <f>'Hist - JK Cement'!B10</f>
        <v>6.8434579439252338E-2</v>
      </c>
      <c r="C28" s="14">
        <f>'Hist - JK Cement'!C10</f>
        <v>7.249003506143116E-2</v>
      </c>
      <c r="D28" s="14">
        <f>'Hist - JK Cement'!D10</f>
        <v>7.2326796528278794E-2</v>
      </c>
    </row>
    <row r="29" spans="1:7" x14ac:dyDescent="0.3">
      <c r="A29" s="3" t="s">
        <v>55</v>
      </c>
      <c r="B29" s="14">
        <f>'Hist - Dalmia'!B10</f>
        <v>5.806275951262678E-2</v>
      </c>
      <c r="C29" s="14">
        <f>'Hist - Dalmia'!C10</f>
        <v>0.05</v>
      </c>
      <c r="D29" s="14">
        <f>'Hist - Dalmia'!D10</f>
        <v>7.818832747905971E-2</v>
      </c>
    </row>
    <row r="31" spans="1:7" ht="26.4" x14ac:dyDescent="0.3">
      <c r="A31" s="7" t="s">
        <v>460</v>
      </c>
      <c r="B31" s="7" t="s">
        <v>192</v>
      </c>
      <c r="C31" s="7" t="s">
        <v>461</v>
      </c>
      <c r="D31" s="7" t="s">
        <v>462</v>
      </c>
      <c r="E31" s="7" t="s">
        <v>463</v>
      </c>
      <c r="F31" s="7" t="s">
        <v>464</v>
      </c>
      <c r="G31" s="7" t="s">
        <v>234</v>
      </c>
    </row>
    <row r="32" spans="1:7" x14ac:dyDescent="0.3">
      <c r="A32" s="3" t="s">
        <v>47</v>
      </c>
      <c r="B32" s="29">
        <f>'Ratio Analysis'!C13</f>
        <v>0.11563616830914225</v>
      </c>
      <c r="C32" s="29">
        <f>'Ratio Analysis'!C14</f>
        <v>0.33640336113280833</v>
      </c>
      <c r="D32" s="29">
        <f>'Ratio Analysis'!C11</f>
        <v>39.033771878260609</v>
      </c>
      <c r="E32" s="29">
        <f>'Ratio Analysis'!C12</f>
        <v>4.5137158146552077</v>
      </c>
      <c r="F32" s="29">
        <f>'Ratio Analysis'!C15</f>
        <v>3.60106572592262</v>
      </c>
      <c r="G32" s="29">
        <f>'Ratio Analysis'!C8</f>
        <v>0.19229365675646667</v>
      </c>
    </row>
    <row r="33" spans="1:7" x14ac:dyDescent="0.3">
      <c r="A33" s="3" t="s">
        <v>49</v>
      </c>
      <c r="B33" s="29">
        <f>'Ratio Analysis'!D13</f>
        <v>7.7677602832651696E-2</v>
      </c>
      <c r="C33" s="29">
        <f>'Ratio Analysis'!D14</f>
        <v>8.2978830699732012E-2</v>
      </c>
      <c r="D33" s="29">
        <f>'Ratio Analysis'!D11</f>
        <v>45.205861914265782</v>
      </c>
      <c r="E33" s="29">
        <f>'Ratio Analysis'!D12</f>
        <v>3.5114829874840332</v>
      </c>
      <c r="F33" s="29">
        <f>'Ratio Analysis'!D15</f>
        <v>3.7744310037925901</v>
      </c>
      <c r="G33" s="29">
        <f>'Ratio Analysis'!D8</f>
        <v>0.22145327397990877</v>
      </c>
    </row>
    <row r="34" spans="1:7" x14ac:dyDescent="0.3">
      <c r="A34" s="3" t="s">
        <v>51</v>
      </c>
      <c r="B34" s="29">
        <f>'Ratio Analysis'!E13</f>
        <v>8.9980780881152356E-2</v>
      </c>
      <c r="C34" s="29">
        <f>'Ratio Analysis'!E14</f>
        <v>1.6480554173486303E-2</v>
      </c>
      <c r="D34" s="29">
        <f>'Ratio Analysis'!E11</f>
        <v>20.729158154883589</v>
      </c>
      <c r="E34" s="29">
        <f>'Ratio Analysis'!E12</f>
        <v>1.8652258377853326</v>
      </c>
      <c r="F34" s="29">
        <f>'Ratio Analysis'!E15</f>
        <v>2.410771566789419</v>
      </c>
      <c r="G34" s="29">
        <f>'Ratio Analysis'!E8</f>
        <v>0.15678736314957067</v>
      </c>
    </row>
    <row r="35" spans="1:7" x14ac:dyDescent="0.3">
      <c r="A35" s="3" t="s">
        <v>53</v>
      </c>
      <c r="B35" s="29">
        <f>'Ratio Analysis'!F13</f>
        <v>0.14258504782411027</v>
      </c>
      <c r="C35" s="29">
        <f>'Ratio Analysis'!F14</f>
        <v>0.87</v>
      </c>
      <c r="D35" s="29">
        <f>'Ratio Analysis'!F11</f>
        <v>39.162230390230633</v>
      </c>
      <c r="E35" s="29">
        <f>'Ratio Analysis'!F12</f>
        <v>5.58394849308986</v>
      </c>
      <c r="F35" s="29">
        <f>'Ratio Analysis'!F15</f>
        <v>2.832478669027787</v>
      </c>
      <c r="G35" s="29">
        <f>'Ratio Analysis'!F8</f>
        <v>0.17300306799880488</v>
      </c>
    </row>
    <row r="36" spans="1:7" x14ac:dyDescent="0.3">
      <c r="A36" s="3" t="s">
        <v>55</v>
      </c>
      <c r="B36" s="29">
        <f>'Ratio Analysis'!G13</f>
        <v>6.4380666332943995E-2</v>
      </c>
      <c r="C36" s="29">
        <f>'Ratio Analysis'!G14</f>
        <v>0.41314867345236111</v>
      </c>
      <c r="D36" s="29">
        <f>'Ratio Analysis'!G11</f>
        <v>27.386030237580997</v>
      </c>
      <c r="E36" s="29">
        <f>'Ratio Analysis'!G12</f>
        <v>1.7631308749096168</v>
      </c>
      <c r="F36" s="29">
        <f>'Ratio Analysis'!G15</f>
        <v>2.1412679005674145</v>
      </c>
      <c r="G36" s="29">
        <f>'Ratio Analysis'!G8</f>
        <v>0.2082545258038368</v>
      </c>
    </row>
    <row r="38" spans="1:7" x14ac:dyDescent="0.3">
      <c r="A38" s="7" t="s">
        <v>60</v>
      </c>
      <c r="B38" s="7" t="s">
        <v>465</v>
      </c>
      <c r="C38" s="7" t="s">
        <v>466</v>
      </c>
      <c r="D38" s="7" t="s">
        <v>467</v>
      </c>
    </row>
    <row r="39" spans="1:7" x14ac:dyDescent="0.3">
      <c r="A39" s="3" t="s">
        <v>47</v>
      </c>
      <c r="B39" s="17">
        <f>'Master Data (FY26)'!B4</f>
        <v>88511.5</v>
      </c>
      <c r="C39" s="17">
        <f>'FY27-28E Assumptions'!B13</f>
        <v>99132.88</v>
      </c>
      <c r="D39" s="17">
        <f>'FY27-28E Assumptions'!C13</f>
        <v>109046.16800000002</v>
      </c>
    </row>
    <row r="40" spans="1:7" x14ac:dyDescent="0.3">
      <c r="A40" s="3" t="s">
        <v>49</v>
      </c>
      <c r="B40" s="17">
        <f>'Master Data (FY26)'!C4</f>
        <v>20943.47</v>
      </c>
      <c r="C40" s="17">
        <f>'FY27-28E Assumptions'!B14</f>
        <v>23037.817000000003</v>
      </c>
      <c r="D40" s="17">
        <f>'FY27-28E Assumptions'!C14</f>
        <v>25341.598700000006</v>
      </c>
    </row>
    <row r="41" spans="1:7" x14ac:dyDescent="0.3">
      <c r="A41" s="3" t="s">
        <v>51</v>
      </c>
      <c r="B41" s="17">
        <f>'Master Data (FY26)'!D4</f>
        <v>40655.699999999997</v>
      </c>
      <c r="C41" s="17">
        <f>'FY27-28E Assumptions'!B15</f>
        <v>45534.383999999998</v>
      </c>
      <c r="D41" s="17">
        <f>'FY27-28E Assumptions'!C15</f>
        <v>50087.822400000005</v>
      </c>
    </row>
    <row r="42" spans="1:7" x14ac:dyDescent="0.3">
      <c r="A42" s="3" t="s">
        <v>53</v>
      </c>
      <c r="B42" s="17">
        <f>'Master Data (FY26)'!E4</f>
        <v>13722.3</v>
      </c>
      <c r="C42" s="17">
        <f>'FY27-28E Assumptions'!B16</f>
        <v>15368.976000000001</v>
      </c>
      <c r="D42" s="17">
        <f>'FY27-28E Assumptions'!C16</f>
        <v>17059.563360000004</v>
      </c>
    </row>
    <row r="43" spans="1:7" x14ac:dyDescent="0.3">
      <c r="A43" s="3" t="s">
        <v>55</v>
      </c>
      <c r="B43" s="17">
        <f>'Master Data (FY26)'!F4</f>
        <v>14804</v>
      </c>
      <c r="C43" s="17">
        <f>'FY27-28E Assumptions'!B17</f>
        <v>16136.36</v>
      </c>
      <c r="D43" s="17">
        <f>'FY27-28E Assumptions'!C17</f>
        <v>17427.268800000002</v>
      </c>
    </row>
    <row r="45" spans="1:7" x14ac:dyDescent="0.3">
      <c r="A45" s="7" t="s">
        <v>468</v>
      </c>
      <c r="B45" s="7" t="s">
        <v>465</v>
      </c>
      <c r="C45" s="7" t="s">
        <v>466</v>
      </c>
      <c r="D45" s="7" t="s">
        <v>467</v>
      </c>
    </row>
    <row r="46" spans="1:7" x14ac:dyDescent="0.3">
      <c r="A46" s="3" t="s">
        <v>47</v>
      </c>
      <c r="B46" s="30">
        <f>'Forward &amp; Historical Valuation'!D6</f>
        <v>277.45973496432214</v>
      </c>
      <c r="C46" s="30">
        <f>'FY27-28E Assumptions'!H13</f>
        <v>286.31650696568136</v>
      </c>
      <c r="D46" s="30">
        <f>'FY27-28E Assumptions'!I13</f>
        <v>329.76924743459057</v>
      </c>
    </row>
    <row r="47" spans="1:7" x14ac:dyDescent="0.3">
      <c r="A47" s="3" t="s">
        <v>49</v>
      </c>
      <c r="B47" s="30">
        <f>'Forward &amp; Historical Valuation'!D7</f>
        <v>484.64842992156542</v>
      </c>
      <c r="C47" s="30">
        <f>'FY27-28E Assumptions'!H14</f>
        <v>485.26207477619806</v>
      </c>
      <c r="D47" s="30">
        <f>'FY27-28E Assumptions'!I14</f>
        <v>561.88240237243997</v>
      </c>
    </row>
    <row r="48" spans="1:7" x14ac:dyDescent="0.3">
      <c r="A48" s="3" t="s">
        <v>51</v>
      </c>
      <c r="B48" s="30">
        <f>'Forward &amp; Historical Valuation'!D8</f>
        <v>18.52704278342927</v>
      </c>
      <c r="C48" s="30">
        <f>'FY27-28E Assumptions'!H15</f>
        <v>16.95014183961851</v>
      </c>
      <c r="D48" s="30">
        <f>'FY27-28E Assumptions'!I15</f>
        <v>19.233950424325005</v>
      </c>
    </row>
    <row r="49" spans="1:5" x14ac:dyDescent="0.3">
      <c r="A49" s="3" t="s">
        <v>53</v>
      </c>
      <c r="B49" s="30">
        <f>'Forward &amp; Historical Valuation'!D9</f>
        <v>128.44774033234975</v>
      </c>
      <c r="C49" s="30">
        <f>'FY27-28E Assumptions'!H16</f>
        <v>131.27716726199722</v>
      </c>
      <c r="D49" s="30">
        <f>'FY27-28E Assumptions'!I16</f>
        <v>154.5490287311695</v>
      </c>
    </row>
    <row r="50" spans="1:5" x14ac:dyDescent="0.3">
      <c r="A50" s="3" t="s">
        <v>55</v>
      </c>
      <c r="B50" s="30">
        <f>'Forward &amp; Historical Valuation'!D10</f>
        <v>61.710294823265976</v>
      </c>
      <c r="C50" s="30">
        <f>'FY27-28E Assumptions'!H17</f>
        <v>60.219928560004277</v>
      </c>
      <c r="D50" s="30">
        <f>'FY27-28E Assumptions'!I17</f>
        <v>67.824845252439076</v>
      </c>
    </row>
    <row r="52" spans="1:5" x14ac:dyDescent="0.3">
      <c r="A52" s="7" t="s">
        <v>199</v>
      </c>
      <c r="B52" s="7" t="s">
        <v>469</v>
      </c>
      <c r="C52" s="7" t="s">
        <v>470</v>
      </c>
      <c r="D52" s="7" t="s">
        <v>471</v>
      </c>
      <c r="E52" s="7" t="s">
        <v>472</v>
      </c>
    </row>
    <row r="53" spans="1:5" x14ac:dyDescent="0.3">
      <c r="A53" s="3" t="s">
        <v>47</v>
      </c>
      <c r="B53" s="17">
        <f>'CCA Valuation'!B5</f>
        <v>10830.3</v>
      </c>
      <c r="C53" s="17">
        <f>'Forward &amp; Historical Valuation'!F16</f>
        <v>10941.316940303363</v>
      </c>
      <c r="D53" s="17">
        <f>'Forward &amp; Historical Valuation'!G16</f>
        <v>12872.137576827487</v>
      </c>
      <c r="E53" s="17">
        <f>'Forward &amp; Historical Valuation'!H16</f>
        <v>14802.958213351607</v>
      </c>
    </row>
    <row r="54" spans="1:5" x14ac:dyDescent="0.3">
      <c r="A54" s="3" t="s">
        <v>49</v>
      </c>
      <c r="B54" s="17">
        <f>'CCA Valuation'!B6</f>
        <v>21908.95</v>
      </c>
      <c r="C54" s="17">
        <f>'Forward &amp; Historical Valuation'!F17</f>
        <v>18725.685845139011</v>
      </c>
      <c r="D54" s="17">
        <f>'Forward &amp; Historical Valuation'!G17</f>
        <v>22030.218641340012</v>
      </c>
      <c r="E54" s="17">
        <f>'Forward &amp; Historical Valuation'!H17</f>
        <v>25334.75143754101</v>
      </c>
    </row>
    <row r="55" spans="1:5" x14ac:dyDescent="0.3">
      <c r="A55" s="3" t="s">
        <v>51</v>
      </c>
      <c r="B55" s="17">
        <f>'CCA Valuation'!B7</f>
        <v>384.05</v>
      </c>
      <c r="C55" s="17">
        <f>'Forward &amp; Historical Valuation'!F18</f>
        <v>489.05286171300526</v>
      </c>
      <c r="D55" s="17">
        <f>'Forward &amp; Historical Valuation'!G18</f>
        <v>575.35630789765321</v>
      </c>
      <c r="E55" s="17">
        <f>'Forward &amp; Historical Valuation'!H18</f>
        <v>661.65975408230122</v>
      </c>
    </row>
    <row r="56" spans="1:5" x14ac:dyDescent="0.3">
      <c r="A56" s="3" t="s">
        <v>53</v>
      </c>
      <c r="B56" s="17">
        <f>'CCA Valuation'!B8</f>
        <v>5030.3</v>
      </c>
      <c r="C56" s="17">
        <f>'Forward &amp; Historical Valuation'!F19</f>
        <v>4949.1275419312042</v>
      </c>
      <c r="D56" s="17">
        <f>'Forward &amp; Historical Valuation'!G19</f>
        <v>5822.5029905072997</v>
      </c>
      <c r="E56" s="17">
        <f>'Forward &amp; Historical Valuation'!H19</f>
        <v>6695.8784390833935</v>
      </c>
    </row>
    <row r="57" spans="1:5" x14ac:dyDescent="0.3">
      <c r="A57" s="3" t="s">
        <v>55</v>
      </c>
      <c r="B57" s="17">
        <f>'CCA Valuation'!B9</f>
        <v>1690</v>
      </c>
      <c r="C57" s="17">
        <f>'Forward &amp; Historical Valuation'!F20</f>
        <v>1916.4393843097891</v>
      </c>
      <c r="D57" s="17">
        <f>'Forward &amp; Historical Valuation'!G20</f>
        <v>2254.6345697762226</v>
      </c>
      <c r="E57" s="17">
        <f>'Forward &amp; Historical Valuation'!H20</f>
        <v>2592.8297552426557</v>
      </c>
    </row>
    <row r="59" spans="1:5" ht="26.4" x14ac:dyDescent="0.3">
      <c r="A59" s="7" t="s">
        <v>473</v>
      </c>
      <c r="B59" s="7" t="s">
        <v>474</v>
      </c>
      <c r="C59" s="7" t="s">
        <v>318</v>
      </c>
    </row>
    <row r="60" spans="1:5" x14ac:dyDescent="0.3">
      <c r="A60" s="3" t="s">
        <v>47</v>
      </c>
      <c r="B60" s="29">
        <f>'Investment Scorecard'!C10</f>
        <v>3.4500000000000006</v>
      </c>
      <c r="C60" s="29">
        <f>'Investment Scorecard'!C15</f>
        <v>2</v>
      </c>
    </row>
    <row r="61" spans="1:5" x14ac:dyDescent="0.3">
      <c r="A61" s="3" t="s">
        <v>49</v>
      </c>
      <c r="B61" s="29">
        <f>'Investment Scorecard'!D10</f>
        <v>2.8</v>
      </c>
      <c r="C61" s="29">
        <f>'Investment Scorecard'!D15</f>
        <v>3</v>
      </c>
    </row>
    <row r="62" spans="1:5" x14ac:dyDescent="0.3">
      <c r="A62" s="3" t="s">
        <v>51</v>
      </c>
      <c r="B62" s="29">
        <f>'Investment Scorecard'!E10</f>
        <v>3.6</v>
      </c>
      <c r="C62" s="29">
        <f>'Investment Scorecard'!E15</f>
        <v>1</v>
      </c>
    </row>
    <row r="63" spans="1:5" x14ac:dyDescent="0.3">
      <c r="A63" s="3" t="s">
        <v>53</v>
      </c>
      <c r="B63" s="29">
        <f>'Investment Scorecard'!F10</f>
        <v>2.4</v>
      </c>
      <c r="C63" s="29">
        <f>'Investment Scorecard'!F15</f>
        <v>5</v>
      </c>
    </row>
    <row r="64" spans="1:5" x14ac:dyDescent="0.3">
      <c r="A64" s="3" t="s">
        <v>55</v>
      </c>
      <c r="B64" s="29">
        <f>'Investment Scorecard'!G10</f>
        <v>2.75</v>
      </c>
      <c r="C64" s="29">
        <f>'Investment Scorecard'!G15</f>
        <v>4</v>
      </c>
    </row>
    <row r="66" spans="1:6" ht="26.4" x14ac:dyDescent="0.3">
      <c r="A66" s="7" t="s">
        <v>475</v>
      </c>
      <c r="B66" s="7" t="s">
        <v>124</v>
      </c>
      <c r="C66" s="7" t="s">
        <v>476</v>
      </c>
      <c r="D66" s="7" t="s">
        <v>477</v>
      </c>
      <c r="E66" s="7" t="s">
        <v>478</v>
      </c>
      <c r="F66" s="7" t="s">
        <v>479</v>
      </c>
    </row>
    <row r="67" spans="1:6" x14ac:dyDescent="0.3">
      <c r="A67" s="3" t="s">
        <v>47</v>
      </c>
      <c r="B67" s="29">
        <f>'Capacity &amp; Efficiency'!B5</f>
        <v>200.1</v>
      </c>
      <c r="C67" s="29">
        <f>'Capacity &amp; Efficiency'!C5</f>
        <v>0.28504273504273503</v>
      </c>
      <c r="D67" s="29">
        <f>'Capacity &amp; Efficiency'!D5</f>
        <v>442.33633183408296</v>
      </c>
      <c r="E67" s="29">
        <f>'Capacity &amp; Efficiency'!E5</f>
        <v>85.058470764617695</v>
      </c>
      <c r="F67" s="29">
        <f>'Capacity &amp; Efficiency'!J5</f>
        <v>0.19940029985007501</v>
      </c>
    </row>
    <row r="68" spans="1:6" x14ac:dyDescent="0.3">
      <c r="A68" s="3" t="s">
        <v>49</v>
      </c>
      <c r="B68" s="29">
        <f>'Capacity &amp; Efficiency'!B6</f>
        <v>69.3</v>
      </c>
      <c r="C68" s="29">
        <f>'Capacity &amp; Efficiency'!C6</f>
        <v>9.8717948717948714E-2</v>
      </c>
      <c r="D68" s="29">
        <f>'Capacity &amp; Efficiency'!D6</f>
        <v>302.21457431457435</v>
      </c>
      <c r="E68" s="29">
        <f>'Capacity &amp; Efficiency'!E6</f>
        <v>66.926406926406926</v>
      </c>
      <c r="F68" s="29">
        <f>'Capacity &amp; Efficiency'!J6</f>
        <v>0.15440115440115454</v>
      </c>
    </row>
    <row r="69" spans="1:6" x14ac:dyDescent="0.3">
      <c r="A69" s="3" t="s">
        <v>51</v>
      </c>
      <c r="B69" s="29">
        <f>'Capacity &amp; Efficiency'!B7</f>
        <v>109</v>
      </c>
      <c r="C69" s="29">
        <f>'Capacity &amp; Efficiency'!C7</f>
        <v>0.15527065527065528</v>
      </c>
      <c r="D69" s="29">
        <f>'Capacity &amp; Efficiency'!D7</f>
        <v>372.98807339449536</v>
      </c>
      <c r="E69" s="29">
        <f>'Capacity &amp; Efficiency'!E7</f>
        <v>58.47981651376147</v>
      </c>
      <c r="F69" s="29">
        <f>'Capacity &amp; Efficiency'!J7</f>
        <v>9.174311926605494E-2</v>
      </c>
    </row>
    <row r="70" spans="1:6" x14ac:dyDescent="0.3">
      <c r="A70" s="3" t="s">
        <v>53</v>
      </c>
      <c r="B70" s="29">
        <f>'Capacity &amp; Efficiency'!B8</f>
        <v>32.26</v>
      </c>
      <c r="C70" s="29">
        <f>'Capacity &amp; Efficiency'!C8</f>
        <v>4.5954415954415954E-2</v>
      </c>
      <c r="D70" s="29">
        <f>'Capacity &amp; Efficiency'!D8</f>
        <v>425.36577805331683</v>
      </c>
      <c r="E70" s="29">
        <f>'Capacity &amp; Efficiency'!E8</f>
        <v>73.589584624922509</v>
      </c>
      <c r="F70" s="29">
        <f>'Capacity &amp; Efficiency'!J8</f>
        <v>0.54990700557966532</v>
      </c>
    </row>
    <row r="71" spans="1:6" x14ac:dyDescent="0.3">
      <c r="A71" s="3" t="s">
        <v>55</v>
      </c>
      <c r="B71" s="29">
        <f>'Capacity &amp; Efficiency'!B9</f>
        <v>54.7</v>
      </c>
      <c r="C71" s="29">
        <f>'Capacity &amp; Efficiency'!C9</f>
        <v>7.792022792022793E-2</v>
      </c>
      <c r="D71" s="29">
        <f>'Capacity &amp; Efficiency'!D9</f>
        <v>270.63985374771477</v>
      </c>
      <c r="E71" s="29">
        <f>'Capacity &amp; Efficiency'!E9</f>
        <v>56.361974405850091</v>
      </c>
      <c r="F71" s="29">
        <f>'Capacity &amp; Efficiency'!J9</f>
        <v>0.22486288848263247</v>
      </c>
    </row>
    <row r="73" spans="1:6" x14ac:dyDescent="0.3">
      <c r="A73" s="7" t="s">
        <v>480</v>
      </c>
      <c r="B73" s="7" t="s">
        <v>470</v>
      </c>
      <c r="C73" s="7" t="s">
        <v>471</v>
      </c>
      <c r="D73" s="7" t="s">
        <v>472</v>
      </c>
    </row>
    <row r="74" spans="1:6" x14ac:dyDescent="0.3">
      <c r="A74" s="3" t="s">
        <v>47</v>
      </c>
      <c r="B74" s="14">
        <f>'Chart Data'!C53/'Chart Data'!B53-1</f>
        <v>1.0250587731029048E-2</v>
      </c>
      <c r="C74" s="14">
        <f>'Chart Data'!D53/'Chart Data'!B53-1</f>
        <v>0.18853010321297536</v>
      </c>
      <c r="D74" s="14">
        <f>'Chart Data'!E53/'Chart Data'!B53-1</f>
        <v>0.36680961869492146</v>
      </c>
    </row>
    <row r="75" spans="1:6" x14ac:dyDescent="0.3">
      <c r="A75" s="3" t="s">
        <v>49</v>
      </c>
      <c r="B75" s="14">
        <f>'Chart Data'!C54/'Chart Data'!B54-1</f>
        <v>-0.14529514900809892</v>
      </c>
      <c r="C75" s="14">
        <f>'Chart Data'!D54/'Chart Data'!B54-1</f>
        <v>5.5351188140011498E-3</v>
      </c>
      <c r="D75" s="14">
        <f>'Chart Data'!E54/'Chart Data'!B54-1</f>
        <v>0.15636538663610122</v>
      </c>
    </row>
    <row r="76" spans="1:6" x14ac:dyDescent="0.3">
      <c r="A76" s="3" t="s">
        <v>51</v>
      </c>
      <c r="B76" s="14">
        <f>'Chart Data'!C55/'Chart Data'!B55-1</f>
        <v>0.27340935220154994</v>
      </c>
      <c r="C76" s="14">
        <f>'Chart Data'!D55/'Chart Data'!B55-1</f>
        <v>0.49812864964888215</v>
      </c>
      <c r="D76" s="14">
        <f>'Chart Data'!E55/'Chart Data'!B55-1</f>
        <v>0.72284794709621458</v>
      </c>
    </row>
    <row r="77" spans="1:6" x14ac:dyDescent="0.3">
      <c r="A77" s="3" t="s">
        <v>53</v>
      </c>
      <c r="B77" s="14">
        <f>'Chart Data'!C56/'Chart Data'!B56-1</f>
        <v>-1.6136703192413226E-2</v>
      </c>
      <c r="C77" s="14">
        <f>'Chart Data'!D56/'Chart Data'!B56-1</f>
        <v>0.15748623153833763</v>
      </c>
      <c r="D77" s="14">
        <f>'Chart Data'!E56/'Chart Data'!B56-1</f>
        <v>0.33110916626908793</v>
      </c>
    </row>
    <row r="78" spans="1:6" x14ac:dyDescent="0.3">
      <c r="A78" s="3" t="s">
        <v>55</v>
      </c>
      <c r="B78" s="14">
        <f>'Chart Data'!C57/'Chart Data'!B57-1</f>
        <v>0.13398780136673905</v>
      </c>
      <c r="C78" s="14">
        <f>'Chart Data'!D57/'Chart Data'!B57-1</f>
        <v>0.33410329572557562</v>
      </c>
      <c r="D78" s="14">
        <f>'Chart Data'!E57/'Chart Data'!B57-1</f>
        <v>0.53421879008441153</v>
      </c>
    </row>
    <row r="80" spans="1:6" ht="26.4" x14ac:dyDescent="0.3">
      <c r="A80" s="7" t="s">
        <v>481</v>
      </c>
      <c r="B80" s="7" t="s">
        <v>482</v>
      </c>
      <c r="C80" s="7" t="s">
        <v>483</v>
      </c>
      <c r="D80" s="7" t="s">
        <v>484</v>
      </c>
    </row>
    <row r="81" spans="1:4" x14ac:dyDescent="0.3">
      <c r="A81" s="3" t="s">
        <v>47</v>
      </c>
      <c r="B81" s="28">
        <f>'Valuation Justification'!B5</f>
        <v>39.033771878260609</v>
      </c>
      <c r="C81" s="28">
        <f>'Valuation Justification'!C5</f>
        <v>33.274130313905815</v>
      </c>
      <c r="D81" s="28">
        <f>'Valuation Justification'!N5</f>
        <v>39.033771878260609</v>
      </c>
    </row>
    <row r="82" spans="1:4" x14ac:dyDescent="0.3">
      <c r="A82" s="3" t="s">
        <v>49</v>
      </c>
      <c r="B82" s="28">
        <f>'Valuation Justification'!B6</f>
        <v>45.205861914265782</v>
      </c>
      <c r="C82" s="28">
        <f>'Valuation Justification'!C6</f>
        <v>33.209901057920803</v>
      </c>
      <c r="D82" s="28">
        <f>'Valuation Justification'!N6</f>
        <v>39.207881486093292</v>
      </c>
    </row>
    <row r="83" spans="1:4" x14ac:dyDescent="0.3">
      <c r="A83" s="3" t="s">
        <v>51</v>
      </c>
      <c r="B83" s="28">
        <f>'Valuation Justification'!B7</f>
        <v>20.729158154883589</v>
      </c>
      <c r="C83" s="28">
        <f>'Valuation Justification'!C7</f>
        <v>39.098001134245621</v>
      </c>
      <c r="D83" s="28">
        <f>'Valuation Justification'!N7</f>
        <v>29.913579644564606</v>
      </c>
    </row>
    <row r="84" spans="1:4" x14ac:dyDescent="0.3">
      <c r="A84" s="3" t="s">
        <v>53</v>
      </c>
      <c r="B84" s="28">
        <f>'Valuation Justification'!B8</f>
        <v>39.162230390230633</v>
      </c>
      <c r="C84" s="28">
        <f>'Valuation Justification'!C8</f>
        <v>33.209901057920803</v>
      </c>
      <c r="D84" s="28">
        <f>'Valuation Justification'!N8</f>
        <v>37.674148057153175</v>
      </c>
    </row>
    <row r="85" spans="1:4" x14ac:dyDescent="0.3">
      <c r="A85" s="3" t="s">
        <v>55</v>
      </c>
      <c r="B85" s="28">
        <f>'Valuation Justification'!B9</f>
        <v>27.386030237580997</v>
      </c>
      <c r="C85" s="28">
        <f>'Valuation Justification'!C9</f>
        <v>39.098001134245621</v>
      </c>
      <c r="D85" s="28">
        <f>'Valuation Justification'!N9</f>
        <v>33.242015685913309</v>
      </c>
    </row>
    <row r="87" spans="1:4" ht="26.4" x14ac:dyDescent="0.3">
      <c r="A87" s="7" t="s">
        <v>485</v>
      </c>
      <c r="B87" s="7" t="s">
        <v>486</v>
      </c>
      <c r="C87" s="7" t="s">
        <v>487</v>
      </c>
      <c r="D87" s="7" t="s">
        <v>488</v>
      </c>
    </row>
    <row r="88" spans="1:4" x14ac:dyDescent="0.3">
      <c r="A88" s="3" t="s">
        <v>47</v>
      </c>
      <c r="B88" s="14">
        <f>'Valuation Justification'!B26</f>
        <v>0.18853010321297536</v>
      </c>
      <c r="C88" s="14">
        <f>'Valuation Justification'!C26</f>
        <v>0.18853010321297536</v>
      </c>
      <c r="D88" s="14">
        <f>'Valuation Justification'!D26</f>
        <v>1.3156137194465511E-2</v>
      </c>
    </row>
    <row r="89" spans="1:4" x14ac:dyDescent="0.3">
      <c r="A89" s="3" t="s">
        <v>49</v>
      </c>
      <c r="B89" s="14">
        <f>'Valuation Justification'!B27</f>
        <v>0.15936082257271322</v>
      </c>
      <c r="C89" s="14">
        <f>'Valuation Justification'!C27</f>
        <v>5.5351188140011498E-3</v>
      </c>
      <c r="D89" s="14">
        <f>'Valuation Justification'!D27</f>
        <v>-0.14829058494471092</v>
      </c>
    </row>
    <row r="90" spans="1:4" x14ac:dyDescent="0.3">
      <c r="A90" s="3" t="s">
        <v>51</v>
      </c>
      <c r="B90" s="14">
        <f>'Valuation Justification'!B28</f>
        <v>3.815544926187564E-2</v>
      </c>
      <c r="C90" s="14">
        <f>'Valuation Justification'!C28</f>
        <v>0.49812864964888215</v>
      </c>
      <c r="D90" s="14">
        <f>'Valuation Justification'!D28</f>
        <v>0.95810185003588866</v>
      </c>
    </row>
    <row r="91" spans="1:4" x14ac:dyDescent="0.3">
      <c r="A91" s="3" t="s">
        <v>53</v>
      </c>
      <c r="B91" s="14">
        <f>'Valuation Justification'!B29</f>
        <v>0.20320550856935626</v>
      </c>
      <c r="C91" s="14">
        <f>'Valuation Justification'!C29</f>
        <v>0.15748623153833763</v>
      </c>
      <c r="D91" s="14">
        <f>'Valuation Justification'!D29</f>
        <v>2.0328400445281281E-2</v>
      </c>
    </row>
    <row r="92" spans="1:4" x14ac:dyDescent="0.3">
      <c r="A92" s="3" t="s">
        <v>55</v>
      </c>
      <c r="B92" s="14">
        <f>'Valuation Justification'!B30</f>
        <v>9.9084770971922254E-2</v>
      </c>
      <c r="C92" s="14">
        <f>'Valuation Justification'!C30</f>
        <v>0.33410329572557562</v>
      </c>
      <c r="D92" s="14">
        <f>'Valuation Justification'!D30</f>
        <v>0.56912182047922877</v>
      </c>
    </row>
    <row r="94" spans="1:4" ht="26.4" x14ac:dyDescent="0.3">
      <c r="A94" s="7" t="s">
        <v>295</v>
      </c>
      <c r="B94" s="7" t="s">
        <v>489</v>
      </c>
    </row>
    <row r="95" spans="1:4" x14ac:dyDescent="0.3">
      <c r="A95" s="3" t="s">
        <v>47</v>
      </c>
      <c r="B95" s="29">
        <f>'Cost &amp; Risk Assessment'!F15</f>
        <v>2.5</v>
      </c>
    </row>
    <row r="96" spans="1:4" x14ac:dyDescent="0.3">
      <c r="A96" s="3" t="s">
        <v>49</v>
      </c>
      <c r="B96" s="29">
        <f>'Cost &amp; Risk Assessment'!F16</f>
        <v>2.25</v>
      </c>
    </row>
    <row r="97" spans="1:2" x14ac:dyDescent="0.3">
      <c r="A97" s="3" t="s">
        <v>51</v>
      </c>
      <c r="B97" s="29">
        <f>'Cost &amp; Risk Assessment'!F17</f>
        <v>2.25</v>
      </c>
    </row>
    <row r="98" spans="1:2" x14ac:dyDescent="0.3">
      <c r="A98" s="3" t="s">
        <v>53</v>
      </c>
      <c r="B98" s="29">
        <f>'Cost &amp; Risk Assessment'!F18</f>
        <v>3.25</v>
      </c>
    </row>
    <row r="99" spans="1:2" x14ac:dyDescent="0.3">
      <c r="A99" s="3" t="s">
        <v>55</v>
      </c>
      <c r="B99" s="29">
        <f>'Cost &amp; Risk Assessment'!F19</f>
        <v>3.25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zoomScaleNormal="100" workbookViewId="0">
      <selection activeCell="A2" sqref="A2"/>
    </sheetView>
  </sheetViews>
  <sheetFormatPr defaultColWidth="8.6640625" defaultRowHeight="14.4" x14ac:dyDescent="0.3"/>
  <cols>
    <col min="1" max="1" width="5" customWidth="1"/>
    <col min="2" max="2" width="62" customWidth="1"/>
    <col min="3" max="3" width="22" customWidth="1"/>
  </cols>
  <sheetData>
    <row r="1" spans="1:3" ht="17.399999999999999" x14ac:dyDescent="0.3">
      <c r="A1" s="1" t="s">
        <v>490</v>
      </c>
    </row>
    <row r="2" spans="1:3" x14ac:dyDescent="0.3">
      <c r="A2" s="2" t="s">
        <v>491</v>
      </c>
    </row>
    <row r="3" spans="1:3" x14ac:dyDescent="0.3">
      <c r="A3" s="7" t="s">
        <v>492</v>
      </c>
      <c r="B3" s="7" t="s">
        <v>493</v>
      </c>
      <c r="C3" s="7" t="s">
        <v>494</v>
      </c>
    </row>
    <row r="4" spans="1:3" x14ac:dyDescent="0.3">
      <c r="A4" s="9">
        <v>1</v>
      </c>
      <c r="B4" s="9" t="s">
        <v>495</v>
      </c>
      <c r="C4" s="9" t="str">
        <f>IF(ROUND('Investment Scorecard'!B12,6)=1,"OK","CHECK")</f>
        <v>OK</v>
      </c>
    </row>
    <row r="5" spans="1:3" x14ac:dyDescent="0.3">
      <c r="A5" s="9">
        <v>2</v>
      </c>
      <c r="B5" s="9" t="s">
        <v>496</v>
      </c>
      <c r="C5" s="9" t="str">
        <f>IF(AND(ROUND('Scorecard Sensitivity'!B11,6)=1,ROUND('Scorecard Sensitivity'!C11,6)=1,ROUND('Scorecard Sensitivity'!D11,6)=1,ROUND('Scorecard Sensitivity'!E11,6)=1),"OK","CHECK")</f>
        <v>OK</v>
      </c>
    </row>
    <row r="6" spans="1:3" x14ac:dyDescent="0.3">
      <c r="A6" s="9">
        <v>3</v>
      </c>
      <c r="B6" s="9" t="s">
        <v>497</v>
      </c>
      <c r="C6" s="9" t="str">
        <f>IF(ABS('Hist - UltraTech'!D4+'Hist - Shree'!D4+'Hist - Ambuja'!D4+'Hist - JK Cement'!D4+'Hist - Dalmia'!D4-SUM('Master Data (FY26)'!B4:F4))&lt;0.01,"OK","CHECK")</f>
        <v>OK</v>
      </c>
    </row>
    <row r="7" spans="1:3" x14ac:dyDescent="0.3">
      <c r="A7" s="9">
        <v>4</v>
      </c>
      <c r="B7" s="9" t="s">
        <v>498</v>
      </c>
      <c r="C7" s="9" t="str">
        <f>IF(ABS(SUMPRODUCT('Master Data (FY26)'!B8:F8,'Master Data (FY26)'!B9:F9)-SUM('Master Data (FY26)'!B10:F10))&lt;0.01,"OK","CHECK")</f>
        <v>OK</v>
      </c>
    </row>
    <row r="8" spans="1:3" x14ac:dyDescent="0.3">
      <c r="A8" s="9">
        <v>5</v>
      </c>
      <c r="B8" s="9" t="s">
        <v>499</v>
      </c>
      <c r="C8" s="9" t="str">
        <f>IF(ABS(SUM('Ratio Analysis'!C4:G4)-SUM('Master Data (FY26)'!B4:F4))&lt;0.01,"OK","CHECK")</f>
        <v>OK</v>
      </c>
    </row>
    <row r="9" spans="1:3" x14ac:dyDescent="0.3">
      <c r="A9" s="9">
        <v>6</v>
      </c>
      <c r="B9" s="9" t="s">
        <v>500</v>
      </c>
      <c r="C9" s="9" t="str">
        <f>IF(SUM('Investment Scorecard'!C15:G15)=15,"OK","CHECK")</f>
        <v>OK</v>
      </c>
    </row>
    <row r="10" spans="1:3" x14ac:dyDescent="0.3">
      <c r="A10" s="9">
        <v>7</v>
      </c>
      <c r="B10" s="9" t="s">
        <v>501</v>
      </c>
      <c r="C10" s="9" t="str">
        <f>IF('Capacity &amp; Efficiency'!C11&lt;1,"OK","CHECK")</f>
        <v>OK</v>
      </c>
    </row>
    <row r="11" spans="1:3" x14ac:dyDescent="0.3">
      <c r="A11" s="9">
        <v>8</v>
      </c>
      <c r="B11" s="9" t="s">
        <v>502</v>
      </c>
      <c r="C11" s="9" t="str">
        <f>IF(ABS(SUM('Ratio Analysis'!C14:G14)-SUM('Master Data (FY26)'!B17:F17))&lt;0.0001,"OK","CHECK")</f>
        <v>OK</v>
      </c>
    </row>
    <row r="12" spans="1:3" x14ac:dyDescent="0.3">
      <c r="A12" s="9">
        <v>9</v>
      </c>
      <c r="B12" s="9" t="s">
        <v>503</v>
      </c>
      <c r="C12" s="9" t="str">
        <f>IF(ABS(SUMPRODUCT('Forward &amp; Historical Valuation'!B16:B20,'Forward &amp; Historical Valuation'!D16:D20)-SUM('Forward &amp; Historical Valuation'!G16:G20))&lt;0.01,"OK","CHECK")</f>
        <v>OK</v>
      </c>
    </row>
    <row r="13" spans="1:3" x14ac:dyDescent="0.3">
      <c r="A13" s="9">
        <v>10</v>
      </c>
      <c r="B13" s="9" t="s">
        <v>504</v>
      </c>
      <c r="C13" s="9" t="str">
        <f>IF(SUMPRODUCT(--ISERROR('Ratio Analysis'!C4:G15))+SUMPRODUCT(--ISERROR('CCA Valuation'!B5:H9))+SUMPRODUCT(--ISERROR('Recommendation Matrix'!B6:Q10))+SUMPRODUCT(--ISERROR('Chart Data'!B4:G110))=0,"OK","CHECK")</f>
        <v>CHECK</v>
      </c>
    </row>
    <row r="14" spans="1:3" x14ac:dyDescent="0.3">
      <c r="A14" s="9">
        <v>11</v>
      </c>
      <c r="B14" s="9" t="s">
        <v>505</v>
      </c>
      <c r="C14" s="9" t="str">
        <f>IF(AND(MIN('Valuation Justification'!M5:M9)&gt;=0,MAX('Valuation Justification'!M5:M9)&lt;=1),"OK","CHECK")</f>
        <v>OK</v>
      </c>
    </row>
    <row r="15" spans="1:3" x14ac:dyDescent="0.3">
      <c r="A15" s="9">
        <v>12</v>
      </c>
      <c r="B15" s="9" t="s">
        <v>506</v>
      </c>
      <c r="C15" s="9" t="str">
        <f>IF(SUMPRODUCT(--(('Valuation Justification'!N5:N9-'Valuation Justification'!B5:B9)*('Valuation Justification'!N5:N9-'Valuation Justification'!C5:C9)&gt;0.000001))=0,"OK","CHECK")</f>
        <v>OK</v>
      </c>
    </row>
    <row r="16" spans="1:3" x14ac:dyDescent="0.3">
      <c r="A16" s="9">
        <v>13</v>
      </c>
      <c r="B16" s="9" t="s">
        <v>507</v>
      </c>
      <c r="C16" s="9" t="str">
        <f>IF('Recommendation Matrix'!B24&gt;'Recommendation Matrix'!B25,"OK","CHECK")</f>
        <v>CHECK</v>
      </c>
    </row>
    <row r="18" spans="2:3" x14ac:dyDescent="0.3">
      <c r="B18" s="3" t="s">
        <v>508</v>
      </c>
      <c r="C18" s="3" t="str">
        <f>IF(COUNTIF(C4:C16,"OK")=ROWS(C4:C16),"ALL CHECKS PASS","REVIEW")</f>
        <v>REVIEW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zoomScaleNormal="100" workbookViewId="0">
      <selection activeCell="E34" sqref="E34"/>
    </sheetView>
  </sheetViews>
  <sheetFormatPr defaultColWidth="8.6640625" defaultRowHeight="14.4" x14ac:dyDescent="0.3"/>
  <cols>
    <col min="1" max="1" width="5" customWidth="1"/>
    <col min="2" max="2" width="34" customWidth="1"/>
    <col min="3" max="3" width="30" customWidth="1"/>
    <col min="4" max="4" width="20" customWidth="1"/>
    <col min="5" max="5" width="70" customWidth="1"/>
    <col min="6" max="6" width="34" customWidth="1"/>
    <col min="7" max="7" width="60" customWidth="1"/>
  </cols>
  <sheetData>
    <row r="1" spans="1:7" ht="17.399999999999999" x14ac:dyDescent="0.3">
      <c r="A1" s="1" t="s">
        <v>509</v>
      </c>
    </row>
    <row r="2" spans="1:7" x14ac:dyDescent="0.3">
      <c r="A2" s="2" t="s">
        <v>510</v>
      </c>
    </row>
    <row r="4" spans="1:7" x14ac:dyDescent="0.3">
      <c r="A4" s="7" t="s">
        <v>492</v>
      </c>
      <c r="B4" s="7" t="s">
        <v>280</v>
      </c>
      <c r="C4" s="7" t="s">
        <v>511</v>
      </c>
      <c r="D4" s="7" t="s">
        <v>512</v>
      </c>
      <c r="E4" s="7" t="s">
        <v>513</v>
      </c>
      <c r="F4" s="7" t="s">
        <v>514</v>
      </c>
      <c r="G4" s="7" t="s">
        <v>515</v>
      </c>
    </row>
    <row r="5" spans="1:7" ht="48" customHeight="1" x14ac:dyDescent="0.3">
      <c r="A5" s="9">
        <v>1</v>
      </c>
      <c r="B5" s="43" t="s">
        <v>516</v>
      </c>
      <c r="C5" s="4" t="s">
        <v>517</v>
      </c>
      <c r="D5" s="44" t="s">
        <v>518</v>
      </c>
      <c r="E5" s="4" t="s">
        <v>519</v>
      </c>
      <c r="F5" s="4" t="s">
        <v>520</v>
      </c>
      <c r="G5" s="4" t="s">
        <v>521</v>
      </c>
    </row>
    <row r="6" spans="1:7" ht="48" customHeight="1" x14ac:dyDescent="0.3">
      <c r="A6" s="9">
        <v>2</v>
      </c>
      <c r="B6" s="43" t="s">
        <v>522</v>
      </c>
      <c r="C6" s="4" t="s">
        <v>523</v>
      </c>
      <c r="D6" s="44" t="s">
        <v>518</v>
      </c>
      <c r="E6" s="4" t="s">
        <v>524</v>
      </c>
      <c r="F6" s="4" t="s">
        <v>525</v>
      </c>
      <c r="G6" s="4" t="s">
        <v>526</v>
      </c>
    </row>
    <row r="7" spans="1:7" ht="48" customHeight="1" x14ac:dyDescent="0.3">
      <c r="A7" s="9">
        <v>3</v>
      </c>
      <c r="B7" s="43" t="s">
        <v>527</v>
      </c>
      <c r="C7" s="4" t="s">
        <v>528</v>
      </c>
      <c r="D7" s="44" t="s">
        <v>518</v>
      </c>
      <c r="E7" s="4" t="s">
        <v>529</v>
      </c>
      <c r="F7" s="4" t="s">
        <v>530</v>
      </c>
      <c r="G7" s="4" t="s">
        <v>526</v>
      </c>
    </row>
    <row r="8" spans="1:7" ht="48" customHeight="1" x14ac:dyDescent="0.3">
      <c r="A8" s="9">
        <v>4</v>
      </c>
      <c r="B8" s="43" t="s">
        <v>531</v>
      </c>
      <c r="C8" s="4" t="s">
        <v>532</v>
      </c>
      <c r="D8" s="44" t="s">
        <v>518</v>
      </c>
      <c r="E8" s="4" t="s">
        <v>533</v>
      </c>
      <c r="F8" s="4" t="s">
        <v>534</v>
      </c>
      <c r="G8" s="4" t="s">
        <v>526</v>
      </c>
    </row>
    <row r="9" spans="1:7" ht="48" customHeight="1" x14ac:dyDescent="0.3">
      <c r="A9" s="9">
        <v>5</v>
      </c>
      <c r="B9" s="43" t="s">
        <v>535</v>
      </c>
      <c r="C9" s="4" t="s">
        <v>536</v>
      </c>
      <c r="D9" s="44" t="s">
        <v>518</v>
      </c>
      <c r="E9" s="4" t="s">
        <v>537</v>
      </c>
      <c r="F9" s="4" t="s">
        <v>538</v>
      </c>
      <c r="G9" s="4" t="s">
        <v>539</v>
      </c>
    </row>
    <row r="10" spans="1:7" ht="48" customHeight="1" x14ac:dyDescent="0.3">
      <c r="A10" s="9">
        <v>6</v>
      </c>
      <c r="B10" s="43" t="s">
        <v>540</v>
      </c>
      <c r="C10" s="4" t="s">
        <v>541</v>
      </c>
      <c r="D10" s="4" t="s">
        <v>542</v>
      </c>
      <c r="E10" s="4" t="s">
        <v>543</v>
      </c>
      <c r="F10" s="4" t="s">
        <v>461</v>
      </c>
      <c r="G10" s="4" t="s">
        <v>539</v>
      </c>
    </row>
    <row r="11" spans="1:7" ht="48" customHeight="1" x14ac:dyDescent="0.3">
      <c r="A11" s="9">
        <v>7</v>
      </c>
      <c r="B11" s="43" t="s">
        <v>544</v>
      </c>
      <c r="C11" s="4" t="s">
        <v>545</v>
      </c>
      <c r="D11" s="4" t="s">
        <v>546</v>
      </c>
      <c r="E11" s="4" t="s">
        <v>547</v>
      </c>
      <c r="F11" s="4" t="s">
        <v>548</v>
      </c>
      <c r="G11" s="4" t="s">
        <v>549</v>
      </c>
    </row>
    <row r="12" spans="1:7" ht="48" customHeight="1" x14ac:dyDescent="0.3">
      <c r="A12" s="9">
        <v>8</v>
      </c>
      <c r="B12" s="43" t="s">
        <v>550</v>
      </c>
      <c r="C12" s="4" t="s">
        <v>551</v>
      </c>
      <c r="D12" s="4" t="s">
        <v>552</v>
      </c>
      <c r="E12" s="4" t="s">
        <v>553</v>
      </c>
      <c r="F12" s="4" t="s">
        <v>554</v>
      </c>
      <c r="G12" s="4" t="s">
        <v>549</v>
      </c>
    </row>
    <row r="13" spans="1:7" ht="48" customHeight="1" x14ac:dyDescent="0.3">
      <c r="A13" s="9">
        <v>9</v>
      </c>
      <c r="B13" s="43" t="s">
        <v>555</v>
      </c>
      <c r="C13" s="4" t="s">
        <v>556</v>
      </c>
      <c r="D13" s="4" t="s">
        <v>557</v>
      </c>
      <c r="E13" s="4" t="s">
        <v>558</v>
      </c>
      <c r="F13" s="4" t="s">
        <v>559</v>
      </c>
      <c r="G13" s="4" t="s">
        <v>549</v>
      </c>
    </row>
    <row r="14" spans="1:7" ht="48" customHeight="1" x14ac:dyDescent="0.3">
      <c r="A14" s="9">
        <v>10</v>
      </c>
      <c r="B14" s="43" t="s">
        <v>560</v>
      </c>
      <c r="C14" s="4" t="s">
        <v>26</v>
      </c>
      <c r="D14" s="4" t="s">
        <v>561</v>
      </c>
      <c r="E14" s="4" t="s">
        <v>562</v>
      </c>
      <c r="F14" s="4" t="s">
        <v>563</v>
      </c>
      <c r="G14" s="4" t="s">
        <v>564</v>
      </c>
    </row>
    <row r="15" spans="1:7" ht="48" customHeight="1" x14ac:dyDescent="0.3">
      <c r="A15" s="9">
        <v>11</v>
      </c>
      <c r="B15" s="43" t="s">
        <v>565</v>
      </c>
      <c r="C15" s="4" t="s">
        <v>566</v>
      </c>
      <c r="D15" s="4" t="s">
        <v>561</v>
      </c>
      <c r="E15" s="4" t="s">
        <v>567</v>
      </c>
      <c r="F15" s="4" t="s">
        <v>568</v>
      </c>
      <c r="G15" s="4" t="s">
        <v>569</v>
      </c>
    </row>
    <row r="16" spans="1:7" ht="48" customHeight="1" x14ac:dyDescent="0.3">
      <c r="A16" s="9">
        <v>12</v>
      </c>
      <c r="B16" s="43" t="s">
        <v>570</v>
      </c>
      <c r="C16" s="4" t="s">
        <v>571</v>
      </c>
      <c r="D16" s="4" t="s">
        <v>572</v>
      </c>
      <c r="E16" s="4" t="s">
        <v>573</v>
      </c>
      <c r="F16" s="4" t="s">
        <v>574</v>
      </c>
      <c r="G16" s="4" t="s">
        <v>549</v>
      </c>
    </row>
    <row r="17" spans="1:7" ht="48" customHeight="1" x14ac:dyDescent="0.3">
      <c r="A17" s="9">
        <v>13</v>
      </c>
      <c r="B17" s="52" t="s">
        <v>575</v>
      </c>
      <c r="C17" s="4" t="s">
        <v>576</v>
      </c>
      <c r="D17" s="4" t="s">
        <v>577</v>
      </c>
      <c r="E17" s="4" t="s">
        <v>578</v>
      </c>
      <c r="F17" s="4" t="s">
        <v>579</v>
      </c>
      <c r="G17" s="4" t="s">
        <v>549</v>
      </c>
    </row>
    <row r="20" spans="1:7" x14ac:dyDescent="0.3">
      <c r="A20" s="3" t="s">
        <v>580</v>
      </c>
    </row>
    <row r="21" spans="1:7" x14ac:dyDescent="0.3">
      <c r="B21" s="9" t="s">
        <v>581</v>
      </c>
      <c r="E21" s="9" t="s">
        <v>582</v>
      </c>
    </row>
    <row r="22" spans="1:7" x14ac:dyDescent="0.3">
      <c r="B22" s="9" t="s">
        <v>583</v>
      </c>
      <c r="E22" s="9" t="s">
        <v>582</v>
      </c>
    </row>
    <row r="23" spans="1:7" x14ac:dyDescent="0.3">
      <c r="B23" s="9" t="s">
        <v>584</v>
      </c>
      <c r="E23" s="9" t="s">
        <v>582</v>
      </c>
    </row>
    <row r="24" spans="1:7" x14ac:dyDescent="0.3">
      <c r="B24" s="9" t="s">
        <v>585</v>
      </c>
      <c r="E24" s="9" t="s">
        <v>582</v>
      </c>
    </row>
    <row r="25" spans="1:7" x14ac:dyDescent="0.3">
      <c r="B25" s="9" t="s">
        <v>586</v>
      </c>
      <c r="E25" s="9" t="s">
        <v>582</v>
      </c>
    </row>
    <row r="26" spans="1:7" x14ac:dyDescent="0.3">
      <c r="B26" s="9" t="s">
        <v>587</v>
      </c>
      <c r="E26" s="9" t="s">
        <v>582</v>
      </c>
    </row>
    <row r="27" spans="1:7" x14ac:dyDescent="0.3">
      <c r="B27" s="9" t="s">
        <v>588</v>
      </c>
      <c r="E27" s="9" t="s">
        <v>582</v>
      </c>
    </row>
    <row r="28" spans="1:7" x14ac:dyDescent="0.3">
      <c r="B28" s="9" t="s">
        <v>589</v>
      </c>
      <c r="E28" s="9" t="s">
        <v>582</v>
      </c>
    </row>
    <row r="29" spans="1:7" x14ac:dyDescent="0.3">
      <c r="B29" s="9" t="s">
        <v>590</v>
      </c>
      <c r="E29" s="9" t="s">
        <v>582</v>
      </c>
    </row>
    <row r="30" spans="1:7" x14ac:dyDescent="0.3">
      <c r="B30" s="9" t="s">
        <v>591</v>
      </c>
      <c r="E30" s="9" t="s">
        <v>582</v>
      </c>
    </row>
    <row r="31" spans="1:7" x14ac:dyDescent="0.3">
      <c r="B31" s="9" t="s">
        <v>592</v>
      </c>
      <c r="E31" s="9" t="s">
        <v>593</v>
      </c>
    </row>
    <row r="32" spans="1:7" x14ac:dyDescent="0.3">
      <c r="B32" s="9" t="s">
        <v>594</v>
      </c>
      <c r="E32" s="9" t="s">
        <v>582</v>
      </c>
    </row>
    <row r="33" spans="2:5" x14ac:dyDescent="0.3">
      <c r="B33" s="9" t="s">
        <v>595</v>
      </c>
      <c r="E33" s="9" t="s">
        <v>596</v>
      </c>
    </row>
    <row r="34" spans="2:5" x14ac:dyDescent="0.3">
      <c r="B34" s="9" t="s">
        <v>597</v>
      </c>
      <c r="E34" s="9" t="s">
        <v>582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zoomScaleNormal="100" workbookViewId="0">
      <selection activeCell="C11" sqref="C11"/>
    </sheetView>
  </sheetViews>
  <sheetFormatPr defaultColWidth="8.6640625" defaultRowHeight="14.4" x14ac:dyDescent="0.3"/>
  <cols>
    <col min="1" max="1" width="42" customWidth="1"/>
    <col min="2" max="2" width="60" customWidth="1"/>
    <col min="3" max="3" width="80" customWidth="1"/>
  </cols>
  <sheetData>
    <row r="1" spans="1:3" ht="17.399999999999999" x14ac:dyDescent="0.3">
      <c r="A1" s="1" t="s">
        <v>598</v>
      </c>
    </row>
    <row r="4" spans="1:3" x14ac:dyDescent="0.3">
      <c r="A4" s="7" t="s">
        <v>599</v>
      </c>
      <c r="B4" s="7" t="s">
        <v>600</v>
      </c>
      <c r="C4" s="7" t="s">
        <v>601</v>
      </c>
    </row>
    <row r="5" spans="1:3" ht="33.75" customHeight="1" x14ac:dyDescent="0.3">
      <c r="A5" s="4" t="s">
        <v>602</v>
      </c>
      <c r="B5" s="4" t="s">
        <v>603</v>
      </c>
      <c r="C5" s="4" t="s">
        <v>604</v>
      </c>
    </row>
    <row r="6" spans="1:3" ht="33.75" customHeight="1" x14ac:dyDescent="0.3">
      <c r="A6" s="4" t="s">
        <v>49</v>
      </c>
      <c r="B6" s="4" t="s">
        <v>605</v>
      </c>
      <c r="C6" s="4" t="s">
        <v>606</v>
      </c>
    </row>
    <row r="7" spans="1:3" ht="33.75" customHeight="1" x14ac:dyDescent="0.3">
      <c r="A7" s="4" t="s">
        <v>51</v>
      </c>
      <c r="B7" s="4" t="s">
        <v>607</v>
      </c>
      <c r="C7" s="4" t="s">
        <v>608</v>
      </c>
    </row>
    <row r="8" spans="1:3" ht="33.75" customHeight="1" x14ac:dyDescent="0.3">
      <c r="A8" s="4" t="s">
        <v>53</v>
      </c>
      <c r="B8" s="4" t="s">
        <v>609</v>
      </c>
      <c r="C8" s="4" t="s">
        <v>610</v>
      </c>
    </row>
    <row r="9" spans="1:3" ht="33.6" customHeight="1" x14ac:dyDescent="0.3">
      <c r="A9" s="4" t="s">
        <v>55</v>
      </c>
      <c r="B9" s="4" t="s">
        <v>611</v>
      </c>
      <c r="C9" s="4" t="s">
        <v>612</v>
      </c>
    </row>
    <row r="10" spans="1:3" ht="33.6" hidden="1" customHeight="1" x14ac:dyDescent="0.3">
      <c r="A10" s="4"/>
      <c r="B10" s="4"/>
      <c r="C10" s="4"/>
    </row>
    <row r="11" spans="1:3" ht="33.75" customHeight="1" x14ac:dyDescent="0.3">
      <c r="A11" s="4" t="s">
        <v>613</v>
      </c>
      <c r="B11" s="4" t="s">
        <v>614</v>
      </c>
      <c r="C11" s="4" t="s">
        <v>615</v>
      </c>
    </row>
    <row r="12" spans="1:3" ht="33.75" customHeight="1" x14ac:dyDescent="0.3">
      <c r="A12" s="4" t="s">
        <v>616</v>
      </c>
      <c r="B12" s="4" t="s">
        <v>617</v>
      </c>
      <c r="C12" s="4" t="s">
        <v>618</v>
      </c>
    </row>
    <row r="13" spans="1:3" ht="33" customHeight="1" x14ac:dyDescent="0.3">
      <c r="A13" s="4" t="s">
        <v>619</v>
      </c>
      <c r="B13" s="4" t="s">
        <v>620</v>
      </c>
      <c r="C13" s="4" t="s">
        <v>621</v>
      </c>
    </row>
    <row r="14" spans="1:3" ht="33.6" hidden="1" customHeight="1" x14ac:dyDescent="0.3">
      <c r="A14" s="4"/>
      <c r="B14" s="4"/>
      <c r="C14" s="4"/>
    </row>
    <row r="15" spans="1:3" ht="33.75" customHeight="1" x14ac:dyDescent="0.3">
      <c r="A15" s="4" t="s">
        <v>622</v>
      </c>
      <c r="B15" s="4" t="s">
        <v>623</v>
      </c>
      <c r="C15" s="4" t="s">
        <v>624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README</vt:lpstr>
      <vt:lpstr>Company Rationale</vt:lpstr>
      <vt:lpstr>Master Data (FY26)</vt:lpstr>
      <vt:lpstr>Hist - UltraTech</vt:lpstr>
      <vt:lpstr>Hist - Shree</vt:lpstr>
      <vt:lpstr>Hist - Ambuja</vt:lpstr>
      <vt:lpstr>Hist - JK Cement</vt:lpstr>
      <vt:lpstr>Hist - Dalmia</vt:lpstr>
      <vt:lpstr>Macro &amp; Sector Data</vt:lpstr>
      <vt:lpstr>Capacity &amp; Efficiency</vt:lpstr>
      <vt:lpstr>Ratio Analysis</vt:lpstr>
      <vt:lpstr>CCA Valuation</vt:lpstr>
      <vt:lpstr>Valuation Justification</vt:lpstr>
      <vt:lpstr>Dashboard</vt:lpstr>
      <vt:lpstr>Qualitative Analysis</vt:lpstr>
      <vt:lpstr>Cost &amp; Risk Assessment</vt:lpstr>
      <vt:lpstr>Investment Scorecard</vt:lpstr>
      <vt:lpstr>Scorecard Sensitivity</vt:lpstr>
      <vt:lpstr>FY27-28E Assumptions</vt:lpstr>
      <vt:lpstr>Forward &amp; Historical Valuation</vt:lpstr>
      <vt:lpstr>Recommendation Matrix</vt:lpstr>
      <vt:lpstr>Rating Rationale</vt:lpstr>
      <vt:lpstr>Investment Thesis</vt:lpstr>
      <vt:lpstr>Chart Data</vt:lpstr>
      <vt:lpstr>Model Checks</vt:lpstr>
      <vt:lpstr>Data Quality Log</vt:lpstr>
      <vt:lpstr>Sources &amp;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1</cp:revision>
  <dcterms:created xsi:type="dcterms:W3CDTF">2026-10-07T04:24:10Z</dcterms:created>
  <dcterms:modified xsi:type="dcterms:W3CDTF">2026-10-07T11:51:02Z</dcterms:modified>
  <dc:language>en-US</dc:language>
</cp:coreProperties>
</file>